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ootcamp SCM\PPIC\P2\"/>
    </mc:Choice>
  </mc:AlternateContent>
  <xr:revisionPtr revIDLastSave="0" documentId="13_ncr:1_{5467A1D9-26C8-4918-8AE7-1B12CF64BB2F}" xr6:coauthVersionLast="47" xr6:coauthVersionMax="47" xr10:uidLastSave="{00000000-0000-0000-0000-000000000000}"/>
  <bookViews>
    <workbookView xWindow="-120" yWindow="-120" windowWidth="19440" windowHeight="10320" activeTab="1" xr2:uid="{00000000-000D-0000-FFFF-FFFF00000000}"/>
  </bookViews>
  <sheets>
    <sheet name="BOM RAW" sheetId="1" r:id="rId1"/>
    <sheet name="Struktur BOM" sheetId="7" r:id="rId2"/>
    <sheet name="ITEM MASTER" sheetId="2" r:id="rId3"/>
    <sheet name="MPS INPUT" sheetId="3" r:id="rId4"/>
    <sheet name="MRP" sheetId="6" r:id="rId5"/>
    <sheet name="Sheet1" sheetId="8" r:id="rId6"/>
    <sheet name="SCHEDULE RECEIPT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M56" i="6" l="1"/>
  <c r="B11" i="8"/>
  <c r="D25" i="8" a="1"/>
  <c r="D25" i="8" s="1"/>
  <c r="D24" i="8" a="1"/>
  <c r="D24" i="8" s="1"/>
  <c r="D23" i="8" a="1"/>
  <c r="D23" i="8" s="1"/>
  <c r="D22" i="8" a="1"/>
  <c r="D22" i="8" s="1"/>
  <c r="D21" i="8" a="1"/>
  <c r="D21" i="8" s="1"/>
  <c r="D20" i="8" a="1"/>
  <c r="D20" i="8" s="1"/>
  <c r="D19" i="8" a="1"/>
  <c r="D19" i="8" s="1"/>
  <c r="D18" i="8" a="1"/>
  <c r="D18" i="8" s="1"/>
  <c r="D17" i="8" a="1"/>
  <c r="D17" i="8" s="1"/>
  <c r="D16" i="8" a="1"/>
  <c r="D16" i="8" s="1"/>
  <c r="D15" i="8" a="1"/>
  <c r="D15" i="8" s="1"/>
  <c r="D14" i="8" a="1"/>
  <c r="D14" i="8" s="1"/>
  <c r="D13" i="8" a="1"/>
  <c r="D13" i="8" s="1"/>
  <c r="D12" i="8" a="1"/>
  <c r="D12" i="8" s="1"/>
  <c r="D11" i="8" a="1"/>
  <c r="D11" i="8" s="1"/>
  <c r="D10" i="8" a="1"/>
  <c r="D10" i="8" s="1"/>
  <c r="D9" i="8" a="1"/>
  <c r="D9" i="8" s="1"/>
  <c r="D8" i="8" a="1"/>
  <c r="D8" i="8" s="1"/>
  <c r="D7" i="8" a="1"/>
  <c r="D7" i="8" s="1"/>
  <c r="D6" i="8" a="1"/>
  <c r="D6" i="8" s="1"/>
  <c r="D5" i="8" a="1"/>
  <c r="D5" i="8" s="1"/>
  <c r="D4" i="8" a="1"/>
  <c r="D4" i="8" s="1"/>
  <c r="D3" i="8" a="1"/>
  <c r="D3" i="8" s="1"/>
  <c r="D2" i="8" a="1"/>
  <c r="D2" i="8" s="1"/>
  <c r="B3" i="8"/>
  <c r="B4" i="8"/>
  <c r="B5" i="8"/>
  <c r="B6" i="8"/>
  <c r="B7" i="8"/>
  <c r="B8" i="8"/>
  <c r="B9" i="8"/>
  <c r="B10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" i="8"/>
  <c r="Q2" i="8" a="1"/>
  <c r="Q2" i="8" s="1"/>
  <c r="BO58" i="6"/>
  <c r="BP58" i="6"/>
  <c r="BQ58" i="6"/>
  <c r="BR58" i="6"/>
  <c r="BS58" i="6"/>
  <c r="BT58" i="6"/>
  <c r="BN58" i="6"/>
  <c r="BL53" i="6" a="1"/>
  <c r="BL53" i="6" s="1"/>
  <c r="BL52" i="6"/>
  <c r="BM54" i="6" s="1" a="1"/>
  <c r="BM47" i="6"/>
  <c r="BL49" i="6" s="1"/>
  <c r="BN43" i="6"/>
  <c r="BO43" i="6"/>
  <c r="BP43" i="6"/>
  <c r="BQ43" i="6"/>
  <c r="BR43" i="6"/>
  <c r="BS43" i="6"/>
  <c r="BT43" i="6"/>
  <c r="BM43" i="6"/>
  <c r="BL38" i="6" a="1"/>
  <c r="BL38" i="6" s="1"/>
  <c r="BL37" i="6"/>
  <c r="BM39" i="6" s="1" a="1"/>
  <c r="BM32" i="6"/>
  <c r="BL35" i="6" s="1"/>
  <c r="BT28" i="6"/>
  <c r="BS28" i="6"/>
  <c r="BR28" i="6"/>
  <c r="BQ28" i="6"/>
  <c r="BP28" i="6"/>
  <c r="BO28" i="6"/>
  <c r="BN28" i="6"/>
  <c r="BL23" i="6" a="1"/>
  <c r="BL23" i="6" s="1"/>
  <c r="BL22" i="6"/>
  <c r="BM24" i="6" s="1" a="1"/>
  <c r="BM24" i="6" s="1"/>
  <c r="BM17" i="6"/>
  <c r="BL20" i="6" s="1"/>
  <c r="BA17" i="6"/>
  <c r="AZ19" i="6" s="1"/>
  <c r="AZ22" i="6"/>
  <c r="BA24" i="6" s="1" a="1"/>
  <c r="BA24" i="6" s="1"/>
  <c r="AZ23" i="6" a="1"/>
  <c r="AZ23" i="6" s="1"/>
  <c r="BB28" i="6"/>
  <c r="BC28" i="6"/>
  <c r="BD28" i="6"/>
  <c r="BE28" i="6"/>
  <c r="BF28" i="6"/>
  <c r="BG28" i="6"/>
  <c r="BH28" i="6"/>
  <c r="AZ49" i="6"/>
  <c r="BH58" i="6"/>
  <c r="BG58" i="6"/>
  <c r="BF58" i="6"/>
  <c r="BE58" i="6"/>
  <c r="BD58" i="6"/>
  <c r="BC58" i="6"/>
  <c r="BB58" i="6"/>
  <c r="BA58" i="6"/>
  <c r="AZ53" i="6" a="1"/>
  <c r="AZ53" i="6" s="1"/>
  <c r="AZ52" i="6"/>
  <c r="BA54" i="6" s="1" a="1"/>
  <c r="BA47" i="6"/>
  <c r="AZ50" i="6" s="1"/>
  <c r="BB43" i="6"/>
  <c r="BC43" i="6"/>
  <c r="BD43" i="6"/>
  <c r="BE43" i="6"/>
  <c r="BF43" i="6"/>
  <c r="BG43" i="6"/>
  <c r="BH43" i="6"/>
  <c r="BA43" i="6"/>
  <c r="AZ38" i="6" a="1"/>
  <c r="AZ38" i="6" s="1"/>
  <c r="AZ37" i="6"/>
  <c r="BA39" i="6" s="1" a="1"/>
  <c r="BA32" i="6"/>
  <c r="AZ34" i="6" s="1"/>
  <c r="AQ58" i="6"/>
  <c r="AR58" i="6"/>
  <c r="AS58" i="6"/>
  <c r="AT58" i="6"/>
  <c r="AU58" i="6"/>
  <c r="AV58" i="6"/>
  <c r="AP58" i="6"/>
  <c r="AN53" i="6" a="1"/>
  <c r="AN53" i="6" s="1"/>
  <c r="AN52" i="6"/>
  <c r="AO54" i="6" s="1" a="1"/>
  <c r="AO47" i="6"/>
  <c r="AN49" i="6" s="1"/>
  <c r="AP43" i="6"/>
  <c r="AQ43" i="6"/>
  <c r="AR43" i="6"/>
  <c r="AS43" i="6"/>
  <c r="AT43" i="6"/>
  <c r="AU43" i="6"/>
  <c r="AV43" i="6"/>
  <c r="AO43" i="6"/>
  <c r="AN38" i="6" a="1"/>
  <c r="AN38" i="6" s="1"/>
  <c r="AN37" i="6"/>
  <c r="AO39" i="6" s="1" a="1"/>
  <c r="AO32" i="6"/>
  <c r="AN34" i="6" s="1"/>
  <c r="AQ28" i="6"/>
  <c r="AR28" i="6"/>
  <c r="AS28" i="6"/>
  <c r="AT28" i="6"/>
  <c r="AU28" i="6"/>
  <c r="AV28" i="6"/>
  <c r="AP28" i="6"/>
  <c r="AN23" i="6" a="1"/>
  <c r="AN23" i="6" s="1"/>
  <c r="AN22" i="6"/>
  <c r="AO24" i="6" s="1" a="1"/>
  <c r="AO24" i="6" s="1"/>
  <c r="AO17" i="6"/>
  <c r="AN21" i="6" s="1"/>
  <c r="AD73" i="6"/>
  <c r="AE73" i="6"/>
  <c r="AF73" i="6"/>
  <c r="AG73" i="6"/>
  <c r="AH73" i="6"/>
  <c r="AI73" i="6"/>
  <c r="AJ73" i="6"/>
  <c r="AC73" i="6"/>
  <c r="AB68" i="6" a="1"/>
  <c r="AB68" i="6" s="1"/>
  <c r="AB67" i="6"/>
  <c r="AC69" i="6" s="1" a="1"/>
  <c r="AC62" i="6"/>
  <c r="AB65" i="6" s="1"/>
  <c r="AE58" i="6"/>
  <c r="AF58" i="6"/>
  <c r="AG58" i="6"/>
  <c r="AH58" i="6"/>
  <c r="AI58" i="6"/>
  <c r="AJ58" i="6"/>
  <c r="AD58" i="6"/>
  <c r="AB53" i="6" a="1"/>
  <c r="AB53" i="6" s="1"/>
  <c r="AB52" i="6"/>
  <c r="AC54" i="6" s="1" a="1"/>
  <c r="AC47" i="6"/>
  <c r="AB48" i="6" s="1"/>
  <c r="AB56" i="6" s="1"/>
  <c r="AE43" i="6"/>
  <c r="AF43" i="6"/>
  <c r="AG43" i="6"/>
  <c r="AH43" i="6"/>
  <c r="AI43" i="6"/>
  <c r="AJ43" i="6"/>
  <c r="AD43" i="6"/>
  <c r="AB38" i="6" a="1"/>
  <c r="AB38" i="6" s="1"/>
  <c r="AB37" i="6"/>
  <c r="AC39" i="6" s="1" a="1"/>
  <c r="AC32" i="6"/>
  <c r="AB34" i="6" s="1"/>
  <c r="AB22" i="6"/>
  <c r="AC24" i="6" s="1" a="1"/>
  <c r="AB18" i="6"/>
  <c r="AB26" i="6" s="1"/>
  <c r="AJ28" i="6"/>
  <c r="AI28" i="6"/>
  <c r="AH28" i="6"/>
  <c r="AG28" i="6"/>
  <c r="AF28" i="6"/>
  <c r="AE28" i="6"/>
  <c r="AD28" i="6"/>
  <c r="AC28" i="6"/>
  <c r="AB23" i="6" a="1"/>
  <c r="AB23" i="6" s="1"/>
  <c r="AC17" i="6"/>
  <c r="AB19" i="6" s="1"/>
  <c r="AC9" i="6" a="1"/>
  <c r="AC9" i="6" s="1"/>
  <c r="AJ13" i="6"/>
  <c r="AI13" i="6"/>
  <c r="AH13" i="6"/>
  <c r="AG13" i="6"/>
  <c r="AF13" i="6"/>
  <c r="AE13" i="6"/>
  <c r="AD13" i="6"/>
  <c r="AC13" i="6"/>
  <c r="AB8" i="6" a="1"/>
  <c r="AB8" i="6" s="1"/>
  <c r="AB7" i="6"/>
  <c r="AC2" i="6"/>
  <c r="AB3" i="6" s="1"/>
  <c r="AB11" i="6" s="1"/>
  <c r="X73" i="6"/>
  <c r="W73" i="6"/>
  <c r="V73" i="6"/>
  <c r="U73" i="6"/>
  <c r="T73" i="6"/>
  <c r="S73" i="6"/>
  <c r="R73" i="6"/>
  <c r="Q73" i="6"/>
  <c r="P68" i="6" a="1"/>
  <c r="P68" i="6" s="1"/>
  <c r="P67" i="6"/>
  <c r="Q69" i="6" s="1" a="1"/>
  <c r="Q62" i="6"/>
  <c r="P64" i="6" s="1"/>
  <c r="X58" i="6"/>
  <c r="W58" i="6"/>
  <c r="V58" i="6"/>
  <c r="U58" i="6"/>
  <c r="T58" i="6"/>
  <c r="S58" i="6"/>
  <c r="R58" i="6"/>
  <c r="Q58" i="6"/>
  <c r="P53" i="6" a="1"/>
  <c r="P53" i="6" s="1"/>
  <c r="P52" i="6"/>
  <c r="Q54" i="6" s="1" a="1"/>
  <c r="Q47" i="6"/>
  <c r="P48" i="6" s="1"/>
  <c r="P56" i="6" s="1"/>
  <c r="X43" i="6"/>
  <c r="W43" i="6"/>
  <c r="V43" i="6"/>
  <c r="U43" i="6"/>
  <c r="T43" i="6"/>
  <c r="S43" i="6"/>
  <c r="R43" i="6"/>
  <c r="Q43" i="6"/>
  <c r="P38" i="6" a="1"/>
  <c r="P38" i="6" s="1"/>
  <c r="P37" i="6"/>
  <c r="Q39" i="6" s="1" a="1"/>
  <c r="Q32" i="6"/>
  <c r="P36" i="6" s="1"/>
  <c r="X28" i="6"/>
  <c r="W28" i="6"/>
  <c r="V28" i="6"/>
  <c r="U28" i="6"/>
  <c r="T28" i="6"/>
  <c r="S28" i="6"/>
  <c r="R28" i="6"/>
  <c r="Q28" i="6"/>
  <c r="P23" i="6" a="1"/>
  <c r="P23" i="6" s="1"/>
  <c r="P22" i="6"/>
  <c r="Q24" i="6" s="1" a="1"/>
  <c r="Q17" i="6"/>
  <c r="P21" i="6" s="1"/>
  <c r="Q9" i="6" a="1"/>
  <c r="Q9" i="6" s="1"/>
  <c r="X13" i="6"/>
  <c r="W13" i="6"/>
  <c r="V13" i="6"/>
  <c r="U13" i="6"/>
  <c r="T13" i="6"/>
  <c r="S13" i="6"/>
  <c r="R13" i="6"/>
  <c r="Q13" i="6"/>
  <c r="P8" i="6" a="1"/>
  <c r="P8" i="6" s="1"/>
  <c r="P7" i="6"/>
  <c r="Q2" i="6"/>
  <c r="P6" i="6" s="1"/>
  <c r="L73" i="6"/>
  <c r="K73" i="6"/>
  <c r="J73" i="6"/>
  <c r="I73" i="6"/>
  <c r="H73" i="6"/>
  <c r="G73" i="6"/>
  <c r="F73" i="6"/>
  <c r="E73" i="6"/>
  <c r="D69" i="6"/>
  <c r="D68" i="6" a="1"/>
  <c r="D68" i="6" s="1"/>
  <c r="D67" i="6"/>
  <c r="E62" i="6"/>
  <c r="D63" i="6" s="1"/>
  <c r="D71" i="6" s="1"/>
  <c r="D54" i="6"/>
  <c r="E24" i="6" a="1"/>
  <c r="E24" i="6" s="1"/>
  <c r="L39" i="6"/>
  <c r="L54" i="6" s="1"/>
  <c r="L69" i="6" s="1"/>
  <c r="L58" i="6"/>
  <c r="K58" i="6"/>
  <c r="J58" i="6"/>
  <c r="I58" i="6"/>
  <c r="H58" i="6"/>
  <c r="G58" i="6"/>
  <c r="F58" i="6"/>
  <c r="E58" i="6"/>
  <c r="D53" i="6" a="1"/>
  <c r="D53" i="6" s="1"/>
  <c r="D52" i="6"/>
  <c r="E47" i="6"/>
  <c r="D51" i="6" s="1"/>
  <c r="D37" i="6"/>
  <c r="L43" i="6"/>
  <c r="K43" i="6"/>
  <c r="J43" i="6"/>
  <c r="I43" i="6"/>
  <c r="H43" i="6"/>
  <c r="G43" i="6"/>
  <c r="F43" i="6"/>
  <c r="E43" i="6"/>
  <c r="D38" i="6" a="1"/>
  <c r="D38" i="6" s="1"/>
  <c r="E32" i="6"/>
  <c r="D36" i="6" s="1"/>
  <c r="D22" i="6"/>
  <c r="L28" i="6"/>
  <c r="K28" i="6"/>
  <c r="J28" i="6"/>
  <c r="I28" i="6"/>
  <c r="H28" i="6"/>
  <c r="G28" i="6"/>
  <c r="F28" i="6"/>
  <c r="E28" i="6"/>
  <c r="D23" i="6" a="1"/>
  <c r="D23" i="6" s="1"/>
  <c r="E17" i="6"/>
  <c r="D20" i="6" s="1"/>
  <c r="F13" i="6"/>
  <c r="E39" i="6" s="1"/>
  <c r="E54" i="6" s="1"/>
  <c r="G13" i="6"/>
  <c r="F39" i="6" s="1"/>
  <c r="F54" i="6" s="1"/>
  <c r="H13" i="6"/>
  <c r="G39" i="6" s="1"/>
  <c r="G54" i="6" s="1"/>
  <c r="G69" i="6" s="1"/>
  <c r="I13" i="6"/>
  <c r="H39" i="6" s="1"/>
  <c r="H54" i="6" s="1"/>
  <c r="H69" i="6" s="1"/>
  <c r="J13" i="6"/>
  <c r="I39" i="6" s="1"/>
  <c r="I54" i="6" s="1"/>
  <c r="I69" i="6" s="1"/>
  <c r="K13" i="6"/>
  <c r="J39" i="6" s="1"/>
  <c r="J54" i="6" s="1"/>
  <c r="J69" i="6" s="1"/>
  <c r="L13" i="6"/>
  <c r="K39" i="6" s="1"/>
  <c r="K54" i="6" s="1"/>
  <c r="K69" i="6" s="1"/>
  <c r="E13" i="6"/>
  <c r="E2" i="6"/>
  <c r="D6" i="6" s="1"/>
  <c r="E9" i="6" a="1"/>
  <c r="E9" i="6" s="1"/>
  <c r="E10" i="6" a="1"/>
  <c r="E10" i="6" s="1"/>
  <c r="D8" i="6" a="1"/>
  <c r="D8" i="6" s="1"/>
  <c r="D7" i="6"/>
  <c r="AZ18" i="6" l="1"/>
  <c r="AZ26" i="6" s="1"/>
  <c r="BA27" i="6" s="1"/>
  <c r="D18" i="6"/>
  <c r="D26" i="6" s="1"/>
  <c r="E26" i="6" s="1"/>
  <c r="AN48" i="6"/>
  <c r="AN56" i="6" s="1"/>
  <c r="AN51" i="6"/>
  <c r="D66" i="6"/>
  <c r="AN50" i="6"/>
  <c r="D65" i="6"/>
  <c r="P35" i="6"/>
  <c r="P63" i="6"/>
  <c r="P71" i="6" s="1"/>
  <c r="D64" i="6"/>
  <c r="P34" i="6"/>
  <c r="AB51" i="6"/>
  <c r="AZ33" i="6"/>
  <c r="AZ41" i="6" s="1"/>
  <c r="BL51" i="6"/>
  <c r="BL34" i="6"/>
  <c r="BL50" i="6"/>
  <c r="D35" i="6"/>
  <c r="P4" i="6"/>
  <c r="D34" i="6"/>
  <c r="D48" i="6"/>
  <c r="D56" i="6" s="1"/>
  <c r="E56" i="6" s="1"/>
  <c r="D50" i="6"/>
  <c r="AB20" i="6"/>
  <c r="BL48" i="6"/>
  <c r="BL56" i="6" s="1"/>
  <c r="AB50" i="6"/>
  <c r="AB49" i="6"/>
  <c r="D49" i="6"/>
  <c r="AC24" i="6"/>
  <c r="AC27" i="6" s="1"/>
  <c r="F69" i="6"/>
  <c r="Q24" i="6"/>
  <c r="E69" i="6"/>
  <c r="P66" i="6"/>
  <c r="P65" i="6"/>
  <c r="AB63" i="6"/>
  <c r="AB71" i="6" s="1"/>
  <c r="D3" i="6"/>
  <c r="D11" i="6" s="1"/>
  <c r="E11" i="6" s="1"/>
  <c r="F11" i="6" s="1"/>
  <c r="G11" i="6" s="1"/>
  <c r="D21" i="6"/>
  <c r="P51" i="6"/>
  <c r="AB21" i="6"/>
  <c r="AB33" i="6"/>
  <c r="AB41" i="6" s="1"/>
  <c r="AZ36" i="6"/>
  <c r="AZ48" i="6"/>
  <c r="AZ56" i="6" s="1"/>
  <c r="BL33" i="6"/>
  <c r="BL41" i="6" s="1"/>
  <c r="P50" i="6"/>
  <c r="AB36" i="6"/>
  <c r="AN33" i="6"/>
  <c r="AN41" i="6" s="1"/>
  <c r="AZ35" i="6"/>
  <c r="AZ51" i="6"/>
  <c r="BL36" i="6"/>
  <c r="D19" i="6"/>
  <c r="P18" i="6"/>
  <c r="P26" i="6" s="1"/>
  <c r="P49" i="6"/>
  <c r="AB35" i="6"/>
  <c r="AN36" i="6"/>
  <c r="AZ21" i="6"/>
  <c r="AB64" i="6"/>
  <c r="D33" i="6"/>
  <c r="D41" i="6" s="1"/>
  <c r="E41" i="6" s="1"/>
  <c r="F42" i="6" s="1"/>
  <c r="P19" i="6"/>
  <c r="P33" i="6"/>
  <c r="P41" i="6" s="1"/>
  <c r="AN35" i="6"/>
  <c r="AZ20" i="6"/>
  <c r="AB66" i="6"/>
  <c r="BM54" i="6"/>
  <c r="BM39" i="6"/>
  <c r="BL18" i="6"/>
  <c r="BL26" i="6" s="1"/>
  <c r="BM26" i="6" s="1"/>
  <c r="BN26" i="6" s="1"/>
  <c r="BL21" i="6"/>
  <c r="BL19" i="6"/>
  <c r="BA54" i="6"/>
  <c r="BA39" i="6"/>
  <c r="AO54" i="6"/>
  <c r="AO56" i="6" s="1"/>
  <c r="AO39" i="6"/>
  <c r="AN19" i="6"/>
  <c r="AN18" i="6"/>
  <c r="AN26" i="6" s="1"/>
  <c r="AO26" i="6" s="1"/>
  <c r="AN20" i="6"/>
  <c r="AC69" i="6"/>
  <c r="AC54" i="6"/>
  <c r="AC39" i="6"/>
  <c r="AC11" i="6"/>
  <c r="AD11" i="6" s="1"/>
  <c r="AE11" i="6" s="1"/>
  <c r="AF11" i="6" s="1"/>
  <c r="AG11" i="6" s="1"/>
  <c r="AH11" i="6" s="1"/>
  <c r="AI11" i="6" s="1"/>
  <c r="AB4" i="6"/>
  <c r="AC12" i="6" s="1"/>
  <c r="AB6" i="6"/>
  <c r="AB5" i="6"/>
  <c r="Q69" i="6"/>
  <c r="Q71" i="6" s="1"/>
  <c r="Q54" i="6"/>
  <c r="Q39" i="6"/>
  <c r="P20" i="6"/>
  <c r="P3" i="6"/>
  <c r="P11" i="6" s="1"/>
  <c r="P5" i="6"/>
  <c r="D5" i="6"/>
  <c r="D4" i="6"/>
  <c r="AC26" i="6" l="1"/>
  <c r="AD26" i="6" s="1"/>
  <c r="Q41" i="6"/>
  <c r="R41" i="6" s="1"/>
  <c r="S41" i="6" s="1"/>
  <c r="BM41" i="6"/>
  <c r="BN42" i="6" s="1"/>
  <c r="BA26" i="6"/>
  <c r="BB27" i="6" s="1"/>
  <c r="BA42" i="6"/>
  <c r="AC57" i="6"/>
  <c r="E72" i="6"/>
  <c r="F41" i="6"/>
  <c r="G42" i="6" s="1"/>
  <c r="E27" i="6"/>
  <c r="BN27" i="6"/>
  <c r="E42" i="6"/>
  <c r="Q12" i="6"/>
  <c r="Q72" i="6"/>
  <c r="AO27" i="6"/>
  <c r="AC72" i="6"/>
  <c r="BM27" i="6"/>
  <c r="AC41" i="6"/>
  <c r="AD41" i="6" s="1"/>
  <c r="AE41" i="6" s="1"/>
  <c r="BM57" i="6"/>
  <c r="AO57" i="6"/>
  <c r="BA41" i="6"/>
  <c r="BB41" i="6" s="1"/>
  <c r="BC41" i="6" s="1"/>
  <c r="F56" i="6"/>
  <c r="G56" i="6" s="1"/>
  <c r="H56" i="6" s="1"/>
  <c r="F57" i="6"/>
  <c r="E71" i="6"/>
  <c r="F71" i="6" s="1"/>
  <c r="G72" i="6" s="1"/>
  <c r="BA57" i="6"/>
  <c r="AO41" i="6"/>
  <c r="AP41" i="6" s="1"/>
  <c r="AQ41" i="6" s="1"/>
  <c r="AR41" i="6" s="1"/>
  <c r="AS41" i="6" s="1"/>
  <c r="AT41" i="6" s="1"/>
  <c r="AU41" i="6" s="1"/>
  <c r="AV41" i="6" s="1"/>
  <c r="E57" i="6"/>
  <c r="AC42" i="6"/>
  <c r="H12" i="6"/>
  <c r="Q57" i="6"/>
  <c r="AC71" i="6"/>
  <c r="AD72" i="6" s="1"/>
  <c r="F12" i="6"/>
  <c r="Q27" i="6"/>
  <c r="BM42" i="6"/>
  <c r="Q26" i="6"/>
  <c r="R26" i="6" s="1"/>
  <c r="S26" i="6" s="1"/>
  <c r="AO42" i="6"/>
  <c r="AP56" i="6"/>
  <c r="AP57" i="6"/>
  <c r="E12" i="6"/>
  <c r="F27" i="6"/>
  <c r="Q42" i="6"/>
  <c r="AC56" i="6"/>
  <c r="G12" i="6"/>
  <c r="BN56" i="6"/>
  <c r="BN57" i="6"/>
  <c r="BN41" i="6"/>
  <c r="BO26" i="6"/>
  <c r="BP27" i="6" s="1"/>
  <c r="BO27" i="6"/>
  <c r="BA56" i="6"/>
  <c r="AP26" i="6"/>
  <c r="AP27" i="6"/>
  <c r="AJ11" i="6"/>
  <c r="AJ12" i="6"/>
  <c r="AH12" i="6"/>
  <c r="AG12" i="6"/>
  <c r="AF12" i="6"/>
  <c r="AE12" i="6"/>
  <c r="AD12" i="6"/>
  <c r="AI12" i="6"/>
  <c r="Q56" i="6"/>
  <c r="R57" i="6" s="1"/>
  <c r="Q11" i="6"/>
  <c r="R12" i="6" s="1"/>
  <c r="F26" i="6"/>
  <c r="G26" i="6" s="1"/>
  <c r="H11" i="6"/>
  <c r="I12" i="6" s="1"/>
  <c r="AD27" i="6" l="1"/>
  <c r="G41" i="6"/>
  <c r="H42" i="6" s="1"/>
  <c r="R42" i="6"/>
  <c r="AE27" i="6"/>
  <c r="AE26" i="6"/>
  <c r="BB26" i="6"/>
  <c r="BC27" i="6" s="1"/>
  <c r="AQ42" i="6"/>
  <c r="AP42" i="6"/>
  <c r="AS42" i="6"/>
  <c r="AR42" i="6"/>
  <c r="AU42" i="6"/>
  <c r="R27" i="6"/>
  <c r="AT42" i="6"/>
  <c r="G71" i="6"/>
  <c r="AD42" i="6"/>
  <c r="F72" i="6"/>
  <c r="AV42" i="6"/>
  <c r="BB42" i="6"/>
  <c r="S27" i="6"/>
  <c r="S42" i="6"/>
  <c r="AD71" i="6"/>
  <c r="AE72" i="6" s="1"/>
  <c r="G57" i="6"/>
  <c r="R71" i="6"/>
  <c r="R72" i="6"/>
  <c r="AD56" i="6"/>
  <c r="AD57" i="6"/>
  <c r="AQ56" i="6"/>
  <c r="AQ57" i="6"/>
  <c r="AE42" i="6"/>
  <c r="BO56" i="6"/>
  <c r="BO57" i="6"/>
  <c r="BO41" i="6"/>
  <c r="BO42" i="6"/>
  <c r="BP26" i="6"/>
  <c r="BQ27" i="6" s="1"/>
  <c r="BB56" i="6"/>
  <c r="BB57" i="6"/>
  <c r="BC42" i="6"/>
  <c r="BD41" i="6"/>
  <c r="BD42" i="6"/>
  <c r="AQ26" i="6"/>
  <c r="AQ27" i="6"/>
  <c r="AF41" i="6"/>
  <c r="AF42" i="6"/>
  <c r="R56" i="6"/>
  <c r="S57" i="6" s="1"/>
  <c r="T41" i="6"/>
  <c r="T42" i="6"/>
  <c r="T26" i="6"/>
  <c r="T27" i="6"/>
  <c r="R11" i="6"/>
  <c r="S12" i="6" s="1"/>
  <c r="H57" i="6"/>
  <c r="I56" i="6"/>
  <c r="I57" i="6"/>
  <c r="G27" i="6"/>
  <c r="H41" i="6"/>
  <c r="I42" i="6" s="1"/>
  <c r="H27" i="6"/>
  <c r="H26" i="6"/>
  <c r="I27" i="6" s="1"/>
  <c r="I11" i="6"/>
  <c r="J12" i="6" s="1"/>
  <c r="AF26" i="6" l="1"/>
  <c r="AF27" i="6"/>
  <c r="BC26" i="6"/>
  <c r="BD26" i="6" s="1"/>
  <c r="BE27" i="6" s="1"/>
  <c r="BD27" i="6"/>
  <c r="AE71" i="6"/>
  <c r="AF72" i="6" s="1"/>
  <c r="H72" i="6"/>
  <c r="H71" i="6"/>
  <c r="AR56" i="6"/>
  <c r="AR57" i="6"/>
  <c r="AE56" i="6"/>
  <c r="AE57" i="6"/>
  <c r="S71" i="6"/>
  <c r="S72" i="6"/>
  <c r="BP56" i="6"/>
  <c r="BP57" i="6"/>
  <c r="BP41" i="6"/>
  <c r="BP42" i="6"/>
  <c r="BQ26" i="6"/>
  <c r="BR27" i="6" s="1"/>
  <c r="BC56" i="6"/>
  <c r="BC57" i="6"/>
  <c r="BE41" i="6"/>
  <c r="BE42" i="6"/>
  <c r="AR26" i="6"/>
  <c r="AR27" i="6"/>
  <c r="AF71" i="6"/>
  <c r="AG41" i="6"/>
  <c r="AG42" i="6"/>
  <c r="S56" i="6"/>
  <c r="T57" i="6" s="1"/>
  <c r="U41" i="6"/>
  <c r="U42" i="6"/>
  <c r="U27" i="6"/>
  <c r="U26" i="6"/>
  <c r="S11" i="6"/>
  <c r="T12" i="6" s="1"/>
  <c r="J56" i="6"/>
  <c r="J57" i="6"/>
  <c r="I41" i="6"/>
  <c r="J41" i="6" s="1"/>
  <c r="I26" i="6"/>
  <c r="J27" i="6" s="1"/>
  <c r="J11" i="6"/>
  <c r="K12" i="6" s="1"/>
  <c r="AG27" i="6" l="1"/>
  <c r="AG26" i="6"/>
  <c r="BE26" i="6"/>
  <c r="BF26" i="6" s="1"/>
  <c r="I72" i="6"/>
  <c r="I71" i="6"/>
  <c r="T71" i="6"/>
  <c r="T72" i="6"/>
  <c r="AF56" i="6"/>
  <c r="AF57" i="6"/>
  <c r="AS56" i="6"/>
  <c r="AS57" i="6"/>
  <c r="BQ56" i="6"/>
  <c r="BQ57" i="6"/>
  <c r="BQ41" i="6"/>
  <c r="BQ42" i="6"/>
  <c r="BR26" i="6"/>
  <c r="BS27" i="6" s="1"/>
  <c r="BD56" i="6"/>
  <c r="BD57" i="6"/>
  <c r="BF41" i="6"/>
  <c r="BF42" i="6"/>
  <c r="AS26" i="6"/>
  <c r="AS27" i="6"/>
  <c r="AG71" i="6"/>
  <c r="AG72" i="6"/>
  <c r="AH41" i="6"/>
  <c r="AH42" i="6"/>
  <c r="T56" i="6"/>
  <c r="U57" i="6" s="1"/>
  <c r="V41" i="6"/>
  <c r="V42" i="6"/>
  <c r="V27" i="6"/>
  <c r="V26" i="6"/>
  <c r="T11" i="6"/>
  <c r="U12" i="6" s="1"/>
  <c r="K56" i="6"/>
  <c r="K57" i="6"/>
  <c r="J42" i="6"/>
  <c r="K42" i="6"/>
  <c r="K41" i="6"/>
  <c r="J26" i="6"/>
  <c r="K27" i="6" s="1"/>
  <c r="K11" i="6"/>
  <c r="L12" i="6" s="1"/>
  <c r="AH27" i="6" l="1"/>
  <c r="AH26" i="6"/>
  <c r="BF27" i="6"/>
  <c r="J72" i="6"/>
  <c r="J71" i="6"/>
  <c r="AT56" i="6"/>
  <c r="AT57" i="6"/>
  <c r="AG57" i="6"/>
  <c r="AG56" i="6"/>
  <c r="U71" i="6"/>
  <c r="U72" i="6"/>
  <c r="BR56" i="6"/>
  <c r="BR57" i="6"/>
  <c r="BR41" i="6"/>
  <c r="BR42" i="6"/>
  <c r="BS26" i="6"/>
  <c r="BT27" i="6" s="1"/>
  <c r="BG26" i="6"/>
  <c r="BG27" i="6"/>
  <c r="BE56" i="6"/>
  <c r="BE57" i="6"/>
  <c r="BG41" i="6"/>
  <c r="BG42" i="6"/>
  <c r="AT26" i="6"/>
  <c r="AT27" i="6"/>
  <c r="AH71" i="6"/>
  <c r="AH72" i="6"/>
  <c r="AI41" i="6"/>
  <c r="AI42" i="6"/>
  <c r="U56" i="6"/>
  <c r="V57" i="6" s="1"/>
  <c r="W41" i="6"/>
  <c r="W42" i="6"/>
  <c r="W27" i="6"/>
  <c r="W26" i="6"/>
  <c r="U11" i="6"/>
  <c r="V12" i="6" s="1"/>
  <c r="L56" i="6"/>
  <c r="L57" i="6"/>
  <c r="L42" i="6"/>
  <c r="L41" i="6"/>
  <c r="K26" i="6"/>
  <c r="L27" i="6" s="1"/>
  <c r="L11" i="6"/>
  <c r="AI27" i="6" l="1"/>
  <c r="AI26" i="6"/>
  <c r="K72" i="6"/>
  <c r="K71" i="6"/>
  <c r="AH57" i="6"/>
  <c r="AH56" i="6"/>
  <c r="V72" i="6"/>
  <c r="V71" i="6"/>
  <c r="AU57" i="6"/>
  <c r="AU56" i="6"/>
  <c r="BS57" i="6"/>
  <c r="BS56" i="6"/>
  <c r="BS42" i="6"/>
  <c r="BS41" i="6"/>
  <c r="BT26" i="6"/>
  <c r="BH27" i="6"/>
  <c r="BH26" i="6"/>
  <c r="BF56" i="6"/>
  <c r="BF57" i="6"/>
  <c r="BH41" i="6"/>
  <c r="BH42" i="6"/>
  <c r="AU26" i="6"/>
  <c r="AU27" i="6"/>
  <c r="AI71" i="6"/>
  <c r="AI72" i="6"/>
  <c r="AJ41" i="6"/>
  <c r="AJ42" i="6"/>
  <c r="V56" i="6"/>
  <c r="W57" i="6" s="1"/>
  <c r="X41" i="6"/>
  <c r="X42" i="6"/>
  <c r="X27" i="6"/>
  <c r="X26" i="6"/>
  <c r="V11" i="6"/>
  <c r="W12" i="6" s="1"/>
  <c r="L26" i="6"/>
  <c r="AJ27" i="6" l="1"/>
  <c r="AJ26" i="6"/>
  <c r="L72" i="6"/>
  <c r="L71" i="6"/>
  <c r="AV56" i="6"/>
  <c r="AV57" i="6"/>
  <c r="W72" i="6"/>
  <c r="W71" i="6"/>
  <c r="AI57" i="6"/>
  <c r="AI56" i="6"/>
  <c r="BT57" i="6"/>
  <c r="BT56" i="6"/>
  <c r="BT42" i="6"/>
  <c r="BT41" i="6"/>
  <c r="BG56" i="6"/>
  <c r="BG57" i="6"/>
  <c r="AV26" i="6"/>
  <c r="AV27" i="6"/>
  <c r="AJ71" i="6"/>
  <c r="AJ72" i="6"/>
  <c r="W56" i="6"/>
  <c r="X57" i="6" s="1"/>
  <c r="W11" i="6"/>
  <c r="X12" i="6" s="1"/>
  <c r="AJ56" i="6" l="1"/>
  <c r="AJ57" i="6"/>
  <c r="X71" i="6"/>
  <c r="X72" i="6"/>
  <c r="BH56" i="6"/>
  <c r="BH57" i="6"/>
  <c r="X56" i="6"/>
  <c r="X11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<sst xmlns="http://schemas.openxmlformats.org/spreadsheetml/2006/main" count="732" uniqueCount="114">
  <si>
    <t>Item Code</t>
  </si>
  <si>
    <t>Parent Item</t>
  </si>
  <si>
    <t>Product Code</t>
  </si>
  <si>
    <t>Item Name</t>
  </si>
  <si>
    <t>Item Type</t>
  </si>
  <si>
    <t>On Hand Inventory</t>
  </si>
  <si>
    <t>Safety Stock</t>
  </si>
  <si>
    <t>Lot Sizing Rule</t>
  </si>
  <si>
    <t>Lot Size</t>
  </si>
  <si>
    <t>Lead Time</t>
  </si>
  <si>
    <t>Week</t>
  </si>
  <si>
    <t>Unit</t>
  </si>
  <si>
    <t>MPS Quantity</t>
  </si>
  <si>
    <t>FG-100</t>
  </si>
  <si>
    <t>Smart Blender 1L</t>
  </si>
  <si>
    <t>Finished Goods</t>
  </si>
  <si>
    <t>Week 1</t>
  </si>
  <si>
    <t>Fixed Lot Size</t>
  </si>
  <si>
    <t>SA-110</t>
  </si>
  <si>
    <t>Motor Assembly</t>
  </si>
  <si>
    <t>Sub Assembly</t>
  </si>
  <si>
    <t>Week 2</t>
  </si>
  <si>
    <t>Set</t>
  </si>
  <si>
    <t>RM-201</t>
  </si>
  <si>
    <t>Plastic Housing</t>
  </si>
  <si>
    <t>Week 3</t>
  </si>
  <si>
    <t>Raw Material</t>
  </si>
  <si>
    <t>Lot-for-Lot</t>
  </si>
  <si>
    <t>Scheduled Receipt</t>
  </si>
  <si>
    <t>Component Item</t>
  </si>
  <si>
    <t>Level</t>
  </si>
  <si>
    <t>Pcs</t>
  </si>
  <si>
    <t>Quantity Per Assembly</t>
  </si>
  <si>
    <t>RM-202</t>
  </si>
  <si>
    <t>Control Knob</t>
  </si>
  <si>
    <t>Week 5</t>
  </si>
  <si>
    <t>L4L</t>
  </si>
  <si>
    <t>RM-203</t>
  </si>
  <si>
    <t>Week 6</t>
  </si>
  <si>
    <t>Copper Wire</t>
  </si>
  <si>
    <t>Meter</t>
  </si>
  <si>
    <t>RM-204</t>
  </si>
  <si>
    <t>Week 8</t>
  </si>
  <si>
    <t>Screw M4</t>
  </si>
  <si>
    <t>Week 4</t>
  </si>
  <si>
    <t>FG-200</t>
  </si>
  <si>
    <t>RM-205</t>
  </si>
  <si>
    <t>Motor Bearing</t>
  </si>
  <si>
    <t>Lot for Lot</t>
  </si>
  <si>
    <t>PK-301</t>
  </si>
  <si>
    <t>Retail Box Blender</t>
  </si>
  <si>
    <t>Packaging</t>
  </si>
  <si>
    <t>Week 7</t>
  </si>
  <si>
    <t>Box</t>
  </si>
  <si>
    <t>Digital Rice Cooker</t>
  </si>
  <si>
    <t>SA-210</t>
  </si>
  <si>
    <t>Heating Assembly</t>
  </si>
  <si>
    <t>W6</t>
  </si>
  <si>
    <t>RM-206</t>
  </si>
  <si>
    <t>Outer Casing</t>
  </si>
  <si>
    <t>RM-207</t>
  </si>
  <si>
    <t>Inner Pot</t>
  </si>
  <si>
    <t>FG-300</t>
  </si>
  <si>
    <t>RM-208</t>
  </si>
  <si>
    <t>Heating Plate</t>
  </si>
  <si>
    <t>RM-209</t>
  </si>
  <si>
    <t>Thermal Fuse</t>
  </si>
  <si>
    <t>RM-210</t>
  </si>
  <si>
    <t>Week-4</t>
  </si>
  <si>
    <t>Power Cable</t>
  </si>
  <si>
    <t>PK-302</t>
  </si>
  <si>
    <t>SA-310</t>
  </si>
  <si>
    <t>Retail Box Rice Cooker</t>
  </si>
  <si>
    <t>RM-211</t>
  </si>
  <si>
    <t>Air Fryer Compact</t>
  </si>
  <si>
    <t>RM-212</t>
  </si>
  <si>
    <t>Fan Heater Assembly</t>
  </si>
  <si>
    <t>RM-213</t>
  </si>
  <si>
    <t>Metal Basket</t>
  </si>
  <si>
    <t>RM-214</t>
  </si>
  <si>
    <t>pcs</t>
  </si>
  <si>
    <t>RM-215</t>
  </si>
  <si>
    <t>Control Panel</t>
  </si>
  <si>
    <t>PK-303</t>
  </si>
  <si>
    <t>Heating Coil</t>
  </si>
  <si>
    <t>Fan Blade</t>
  </si>
  <si>
    <t>Temperature Sensor</t>
  </si>
  <si>
    <t>Retail Box Air Fryer</t>
  </si>
  <si>
    <t>Fixed lot</t>
  </si>
  <si>
    <t>Gross Requirement</t>
  </si>
  <si>
    <t xml:space="preserve">Jumlah </t>
  </si>
  <si>
    <t>Minggu</t>
  </si>
  <si>
    <t>Planned Production Order</t>
  </si>
  <si>
    <t>Planned Production Release</t>
  </si>
  <si>
    <t>On Hand</t>
  </si>
  <si>
    <t>Net Requirement</t>
  </si>
  <si>
    <t>Item 
FG-100</t>
  </si>
  <si>
    <t>Item 
FG-200</t>
  </si>
  <si>
    <t>Item
FG-300</t>
  </si>
  <si>
    <t>Item
SA-110</t>
  </si>
  <si>
    <t>Item
SA-210</t>
  </si>
  <si>
    <t>Item
SA-310</t>
  </si>
  <si>
    <t>MRP</t>
  </si>
  <si>
    <t>Type</t>
  </si>
  <si>
    <t>Order Minggu 1</t>
  </si>
  <si>
    <t>Order Minggu 2</t>
  </si>
  <si>
    <t>Order Minggu 3</t>
  </si>
  <si>
    <t>Order Minggu 4</t>
  </si>
  <si>
    <t>Order Minggu 5</t>
  </si>
  <si>
    <t>Order Minggu 6</t>
  </si>
  <si>
    <t>Order Minggu 7</t>
  </si>
  <si>
    <t>Order Minggu 8</t>
  </si>
  <si>
    <t>Minggu 0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</si>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</sst>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9"/>
      <color rgb="FFFFFFFF"/>
      <name val="Manrope"/>
    </font>
    <font>
      <sz val="9"/>
      <color theme="1"/>
      <name val="Manrope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b/>
      <sz val="48"/>
      <color rgb="FF000000"/>
      <name val="Arial"/>
      <family val="2"/>
      <scheme val="minor"/>
    </font>
    <font>
      <b/>
      <sz val="36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textRotation="90" wrapText="1"/>
    </xf>
    <xf numFmtId="0" fontId="6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Manrope"/>
        <scheme val="none"/>
      </font>
      <fill>
        <patternFill patternType="solid">
          <fgColor rgb="FF674EA7"/>
          <bgColor rgb="FF674EA7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Manrope"/>
        <scheme val="none"/>
      </font>
      <fill>
        <patternFill patternType="solid">
          <fgColor rgb="FF674EA7"/>
          <bgColor rgb="FF674EA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nrope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Manrope"/>
        <scheme val="none"/>
      </font>
      <fill>
        <patternFill patternType="solid">
          <fgColor rgb="FF674EA7"/>
          <bgColor rgb="FF674EA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15</xdr:col>
          <xdr:colOff>152400</xdr:colOff>
          <xdr:row>18</xdr:row>
          <xdr:rowOff>114300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15</xdr:col>
          <xdr:colOff>104775</xdr:colOff>
          <xdr:row>41</xdr:row>
          <xdr:rowOff>114300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1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14</xdr:col>
          <xdr:colOff>495300</xdr:colOff>
          <xdr:row>62</xdr:row>
          <xdr:rowOff>114300</xdr:rowOff>
        </xdr:to>
        <xdr:sp macro="" textlink="">
          <xdr:nvSpPr>
            <xdr:cNvPr id="7171" name="Object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1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095AC7-0A6E-4439-AB80-B8B1AAF9C879}" name="BOM" displayName="BOM" ref="A1:E22" totalsRowShown="0" headerRowDxfId="29" headerRowBorderDxfId="28" tableBorderDxfId="27" totalsRowBorderDxfId="26">
  <autoFilter ref="A1:E22" xr:uid="{C0095AC7-0A6E-4439-AB80-B8B1AAF9C879}"/>
  <sortState xmlns:xlrd2="http://schemas.microsoft.com/office/spreadsheetml/2017/richdata2" ref="A2:E22">
    <sortCondition ref="A1:A24"/>
  </sortState>
  <tableColumns count="5">
    <tableColumn id="1" xr3:uid="{9FD176EA-D69A-4905-98CD-5B030CBB211B}" name="Parent Item" dataDxfId="25"/>
    <tableColumn id="2" xr3:uid="{8F978A46-F369-4E1C-A2A5-5774938E6998}" name="Component Item" dataDxfId="24"/>
    <tableColumn id="3" xr3:uid="{1F87AB70-9770-4181-BDC5-F612E7821D61}" name="Level" dataDxfId="23"/>
    <tableColumn id="4" xr3:uid="{46C30705-F79D-4A0C-8CF8-F2A686D70D0B}" name="Quantity Per Assembly" dataDxfId="22"/>
    <tableColumn id="5" xr3:uid="{8B549C82-34D9-43ED-BD01-C37DB3CC8B81}" name="Unit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83D3E8-AF77-445B-B76E-73F098FE25FF}" name="Item" displayName="Item" ref="A1:I25" totalsRowShown="0" headerRowDxfId="20" dataDxfId="18" headerRowBorderDxfId="19" tableBorderDxfId="17" totalsRowBorderDxfId="16">
  <autoFilter ref="A1:I25" xr:uid="{3E83D3E8-AF77-445B-B76E-73F098FE25FF}"/>
  <sortState xmlns:xlrd2="http://schemas.microsoft.com/office/spreadsheetml/2017/richdata2" ref="A2:I25">
    <sortCondition ref="A1:A25"/>
  </sortState>
  <tableColumns count="9">
    <tableColumn id="1" xr3:uid="{6BAEAC64-3D2C-497F-A9C8-6E0C5FE12562}" name="Item Code" dataDxfId="15"/>
    <tableColumn id="2" xr3:uid="{466425F2-4550-4E47-BA68-E5DE4DCB3F6A}" name="Item Name" dataDxfId="14"/>
    <tableColumn id="3" xr3:uid="{4526CF8A-1832-4357-A687-A10583959D03}" name="Item Type" dataDxfId="13"/>
    <tableColumn id="4" xr3:uid="{4C5C4C8F-24E1-4090-8A46-7E5A7594CF45}" name="On Hand Inventory" dataDxfId="12"/>
    <tableColumn id="5" xr3:uid="{06E73813-361B-46A3-813D-1933DD95501B}" name="Safety Stock" dataDxfId="11"/>
    <tableColumn id="6" xr3:uid="{4664D18A-9CE7-467C-9970-430A996977CF}" name="Lot Sizing Rule" dataDxfId="10"/>
    <tableColumn id="7" xr3:uid="{F8D39D27-8486-4DFE-BB7D-5E393090F9E5}" name="Lot Size" dataDxfId="9"/>
    <tableColumn id="8" xr3:uid="{0226F26B-C968-407D-A058-C38C78C57357}" name="Lead Time" dataDxfId="8"/>
    <tableColumn id="9" xr3:uid="{76E4D755-C8CB-47F8-B999-7CD0ADD73B44}" name="Unit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209BAA-58FA-45DE-B717-006AFA721C73}" name="Table3" displayName="Table3" ref="A1:C31" totalsRowShown="0" headerRowDxfId="6" headerRowBorderDxfId="5" tableBorderDxfId="4" totalsRowBorderDxfId="3">
  <autoFilter ref="A1:C31" xr:uid="{CE209BAA-58FA-45DE-B717-006AFA721C73}"/>
  <sortState xmlns:xlrd2="http://schemas.microsoft.com/office/spreadsheetml/2017/richdata2" ref="A2:C31">
    <sortCondition ref="A1:A31"/>
  </sortState>
  <tableColumns count="3">
    <tableColumn id="1" xr3:uid="{D7600EBC-E6BB-47E8-A3CB-2D9D294B43AA}" name="Item Code" dataDxfId="2"/>
    <tableColumn id="2" xr3:uid="{E0143802-695C-4155-BA68-DD46F15620AE}" name="Week" dataDxfId="1"/>
    <tableColumn id="3" xr3:uid="{464DCDF3-201A-4D65-8C8C-5C5BDC0D46A3}" name="Scheduled Receip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package" Target="../embeddings/Microsoft_Visio_Drawing.vsdx"/><Relationship Id="rId7" Type="http://schemas.openxmlformats.org/officeDocument/2006/relationships/package" Target="../embeddings/Microsoft_Visio_Drawing2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package" Target="../embeddings/Microsoft_Visio_Drawing1.vsdx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4"/>
  <sheetViews>
    <sheetView topLeftCell="A3" workbookViewId="0">
      <selection activeCell="B21" sqref="B21"/>
    </sheetView>
  </sheetViews>
  <sheetFormatPr defaultColWidth="12.5703125" defaultRowHeight="15.75" customHeight="1"/>
  <cols>
    <col min="2" max="2" width="16.42578125" customWidth="1"/>
    <col min="4" max="4" width="21.5703125" customWidth="1"/>
    <col min="5" max="5" width="9.42578125" customWidth="1"/>
  </cols>
  <sheetData>
    <row r="1" spans="1:5">
      <c r="A1" s="6" t="s">
        <v>1</v>
      </c>
      <c r="B1" s="7" t="s">
        <v>29</v>
      </c>
      <c r="C1" s="7" t="s">
        <v>30</v>
      </c>
      <c r="D1" s="7" t="s">
        <v>32</v>
      </c>
      <c r="E1" s="8" t="s">
        <v>11</v>
      </c>
    </row>
    <row r="2" spans="1:5">
      <c r="A2" s="4" t="s">
        <v>13</v>
      </c>
      <c r="B2" s="2" t="s">
        <v>49</v>
      </c>
      <c r="C2" s="3">
        <v>1</v>
      </c>
      <c r="D2" s="3">
        <v>1</v>
      </c>
      <c r="E2" s="5" t="s">
        <v>53</v>
      </c>
    </row>
    <row r="3" spans="1:5">
      <c r="A3" s="4" t="s">
        <v>13</v>
      </c>
      <c r="B3" s="2" t="s">
        <v>23</v>
      </c>
      <c r="C3" s="3">
        <v>1</v>
      </c>
      <c r="D3" s="3">
        <v>2</v>
      </c>
      <c r="E3" s="5" t="s">
        <v>31</v>
      </c>
    </row>
    <row r="4" spans="1:5">
      <c r="A4" s="4" t="s">
        <v>13</v>
      </c>
      <c r="B4" s="2" t="s">
        <v>33</v>
      </c>
      <c r="C4" s="3">
        <v>1</v>
      </c>
      <c r="D4" s="3">
        <v>1</v>
      </c>
      <c r="E4" s="5" t="s">
        <v>31</v>
      </c>
    </row>
    <row r="5" spans="1:5">
      <c r="A5" s="4" t="s">
        <v>13</v>
      </c>
      <c r="B5" s="2" t="s">
        <v>18</v>
      </c>
      <c r="C5" s="3">
        <v>1</v>
      </c>
      <c r="D5" s="3">
        <v>1</v>
      </c>
      <c r="E5" s="5" t="s">
        <v>22</v>
      </c>
    </row>
    <row r="6" spans="1:5">
      <c r="A6" s="4" t="s">
        <v>45</v>
      </c>
      <c r="B6" s="2" t="s">
        <v>70</v>
      </c>
      <c r="C6" s="3">
        <v>1</v>
      </c>
      <c r="D6" s="3">
        <v>1</v>
      </c>
      <c r="E6" s="5" t="s">
        <v>53</v>
      </c>
    </row>
    <row r="7" spans="1:5">
      <c r="A7" s="4" t="s">
        <v>45</v>
      </c>
      <c r="B7" s="2" t="s">
        <v>58</v>
      </c>
      <c r="C7" s="3">
        <v>1</v>
      </c>
      <c r="D7" s="3">
        <v>4</v>
      </c>
      <c r="E7" s="5" t="s">
        <v>31</v>
      </c>
    </row>
    <row r="8" spans="1:5">
      <c r="A8" s="4" t="s">
        <v>45</v>
      </c>
      <c r="B8" s="2" t="s">
        <v>60</v>
      </c>
      <c r="C8" s="3">
        <v>1</v>
      </c>
      <c r="D8" s="3">
        <v>2</v>
      </c>
      <c r="E8" s="5" t="s">
        <v>31</v>
      </c>
    </row>
    <row r="9" spans="1:5">
      <c r="A9" s="4" t="s">
        <v>45</v>
      </c>
      <c r="B9" s="2" t="s">
        <v>55</v>
      </c>
      <c r="C9" s="3">
        <v>1</v>
      </c>
      <c r="D9" s="3">
        <v>1</v>
      </c>
      <c r="E9" s="5" t="s">
        <v>22</v>
      </c>
    </row>
    <row r="10" spans="1:5">
      <c r="A10" s="4" t="s">
        <v>62</v>
      </c>
      <c r="B10" s="2" t="s">
        <v>83</v>
      </c>
      <c r="C10" s="3">
        <v>1</v>
      </c>
      <c r="D10" s="3">
        <v>1</v>
      </c>
      <c r="E10" s="5" t="s">
        <v>53</v>
      </c>
    </row>
    <row r="11" spans="1:5">
      <c r="A11" s="4" t="s">
        <v>62</v>
      </c>
      <c r="B11" s="2" t="s">
        <v>73</v>
      </c>
      <c r="C11" s="3">
        <v>1</v>
      </c>
      <c r="D11" s="3">
        <v>2</v>
      </c>
      <c r="E11" s="5" t="s">
        <v>31</v>
      </c>
    </row>
    <row r="12" spans="1:5">
      <c r="A12" s="4" t="s">
        <v>62</v>
      </c>
      <c r="B12" s="2" t="s">
        <v>75</v>
      </c>
      <c r="C12" s="3">
        <v>1</v>
      </c>
      <c r="D12" s="3">
        <v>2</v>
      </c>
      <c r="E12" s="5" t="s">
        <v>31</v>
      </c>
    </row>
    <row r="13" spans="1:5">
      <c r="A13" s="4" t="s">
        <v>62</v>
      </c>
      <c r="B13" s="2" t="s">
        <v>71</v>
      </c>
      <c r="C13" s="3">
        <v>1</v>
      </c>
      <c r="D13" s="3">
        <v>1</v>
      </c>
      <c r="E13" s="5" t="s">
        <v>22</v>
      </c>
    </row>
    <row r="14" spans="1:5">
      <c r="A14" s="4" t="s">
        <v>18</v>
      </c>
      <c r="B14" s="2" t="s">
        <v>37</v>
      </c>
      <c r="C14" s="3">
        <v>2</v>
      </c>
      <c r="D14" s="3">
        <v>3</v>
      </c>
      <c r="E14" s="5" t="s">
        <v>31</v>
      </c>
    </row>
    <row r="15" spans="1:5">
      <c r="A15" s="4" t="s">
        <v>18</v>
      </c>
      <c r="B15" s="2" t="s">
        <v>41</v>
      </c>
      <c r="C15" s="3">
        <v>2</v>
      </c>
      <c r="D15" s="3">
        <v>2</v>
      </c>
      <c r="E15" s="5" t="s">
        <v>31</v>
      </c>
    </row>
    <row r="16" spans="1:5">
      <c r="A16" s="4" t="s">
        <v>18</v>
      </c>
      <c r="B16" s="2" t="s">
        <v>46</v>
      </c>
      <c r="C16" s="3">
        <v>2</v>
      </c>
      <c r="D16" s="3">
        <v>1</v>
      </c>
      <c r="E16" s="5" t="s">
        <v>31</v>
      </c>
    </row>
    <row r="17" spans="1:5">
      <c r="A17" s="4" t="s">
        <v>55</v>
      </c>
      <c r="B17" s="2" t="s">
        <v>63</v>
      </c>
      <c r="C17" s="3">
        <v>2</v>
      </c>
      <c r="D17" s="3">
        <v>2</v>
      </c>
      <c r="E17" s="5" t="s">
        <v>31</v>
      </c>
    </row>
    <row r="18" spans="1:5">
      <c r="A18" s="4" t="s">
        <v>55</v>
      </c>
      <c r="B18" s="2" t="s">
        <v>65</v>
      </c>
      <c r="C18" s="3">
        <v>2</v>
      </c>
      <c r="D18" s="3">
        <v>1</v>
      </c>
      <c r="E18" s="5" t="s">
        <v>31</v>
      </c>
    </row>
    <row r="19" spans="1:5">
      <c r="A19" s="4" t="s">
        <v>55</v>
      </c>
      <c r="B19" s="2" t="s">
        <v>67</v>
      </c>
      <c r="C19" s="3">
        <v>2</v>
      </c>
      <c r="D19" s="3">
        <v>3</v>
      </c>
      <c r="E19" s="5" t="s">
        <v>31</v>
      </c>
    </row>
    <row r="20" spans="1:5">
      <c r="A20" s="4" t="s">
        <v>71</v>
      </c>
      <c r="B20" s="2" t="s">
        <v>77</v>
      </c>
      <c r="C20" s="3">
        <v>2</v>
      </c>
      <c r="D20" s="3">
        <v>2</v>
      </c>
      <c r="E20" s="5" t="s">
        <v>31</v>
      </c>
    </row>
    <row r="21" spans="1:5">
      <c r="A21" s="4" t="s">
        <v>71</v>
      </c>
      <c r="B21" s="2" t="s">
        <v>79</v>
      </c>
      <c r="C21" s="3">
        <v>2</v>
      </c>
      <c r="D21" s="3">
        <v>3</v>
      </c>
      <c r="E21" s="5" t="s">
        <v>80</v>
      </c>
    </row>
    <row r="22" spans="1:5">
      <c r="A22" s="4" t="s">
        <v>71</v>
      </c>
      <c r="B22" s="2" t="s">
        <v>81</v>
      </c>
      <c r="C22" s="3">
        <v>2</v>
      </c>
      <c r="D22" s="3">
        <v>1</v>
      </c>
      <c r="E22" s="5" t="s">
        <v>31</v>
      </c>
    </row>
    <row r="23" spans="1:5"/>
    <row r="24" spans="1:5"/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D0C8-B1E3-4F24-A517-5698973DF685}">
  <dimension ref="A1"/>
  <sheetViews>
    <sheetView showGridLines="0" tabSelected="1" topLeftCell="A50" workbookViewId="0">
      <selection activeCell="F18" sqref="F18"/>
    </sheetView>
  </sheetViews>
  <sheetFormatPr defaultRowHeight="12.75"/>
  <sheetData/>
  <sheetProtection algorithmName="SHA-512" hashValue="uYLQtb9rZcC5LRYbLYzq89r08uxx4Nnxst7UcmljsqcipJykqCKP4YxydcCAWEbEs2KRlDbgXuflwBjrosOEWg==" saltValue="SuBFopXafb8Und2Rkr4c+Q==" spinCount="100000" sheet="1" objects="1" scenarios="1" selectLockedCells="1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7169" r:id="rId3">
          <object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15</xdr:col>
                <xdr:colOff>152400</xdr:colOff>
                <xdr:row>18</xdr:row>
                <xdr:rowOff>114300</xdr:rowOff>
              </to>
            </anchor>
          </objectPr>
        </oleObject>
      </mc:Choice>
      <mc:Fallback>
        <oleObject progId="Visio.Drawing.15" shapeId="7169" r:id="rId3"/>
      </mc:Fallback>
    </mc:AlternateContent>
    <mc:AlternateContent xmlns:mc="http://schemas.openxmlformats.org/markup-compatibility/2006">
      <mc:Choice Requires="x14">
        <oleObject progId="Visio.Drawing.15" shapeId="7170" r:id="rId5">
          <objectPr defaultSize="0" r:id="rId6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15</xdr:col>
                <xdr:colOff>104775</xdr:colOff>
                <xdr:row>41</xdr:row>
                <xdr:rowOff>114300</xdr:rowOff>
              </to>
            </anchor>
          </objectPr>
        </oleObject>
      </mc:Choice>
      <mc:Fallback>
        <oleObject progId="Visio.Drawing.15" shapeId="7170" r:id="rId5"/>
      </mc:Fallback>
    </mc:AlternateContent>
    <mc:AlternateContent xmlns:mc="http://schemas.openxmlformats.org/markup-compatibility/2006">
      <mc:Choice Requires="x14">
        <oleObject progId="Visio.Drawing.15" shapeId="7171" r:id="rId7">
          <objectPr defaultSize="0" r:id="rId8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14</xdr:col>
                <xdr:colOff>495300</xdr:colOff>
                <xdr:row>62</xdr:row>
                <xdr:rowOff>114300</xdr:rowOff>
              </to>
            </anchor>
          </objectPr>
        </oleObject>
      </mc:Choice>
      <mc:Fallback>
        <oleObject progId="Visio.Drawing.15" shapeId="7171" r:id="rId7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5"/>
  <sheetViews>
    <sheetView workbookViewId="0">
      <selection sqref="A1:A1048576"/>
    </sheetView>
  </sheetViews>
  <sheetFormatPr defaultColWidth="12.5703125" defaultRowHeight="15.75" customHeight="1"/>
  <cols>
    <col min="2" max="2" width="19.85546875" customWidth="1"/>
    <col min="4" max="4" width="17.85546875" customWidth="1"/>
    <col min="5" max="5" width="13.42578125" customWidth="1"/>
    <col min="6" max="6" width="15" customWidth="1"/>
  </cols>
  <sheetData>
    <row r="1" spans="1:9">
      <c r="A1" s="6" t="s">
        <v>0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8" t="s">
        <v>11</v>
      </c>
    </row>
    <row r="2" spans="1:9">
      <c r="A2" s="4" t="s">
        <v>13</v>
      </c>
      <c r="B2" s="2" t="s">
        <v>14</v>
      </c>
      <c r="C2" s="2" t="s">
        <v>15</v>
      </c>
      <c r="D2" s="2">
        <v>120</v>
      </c>
      <c r="E2" s="2">
        <v>50</v>
      </c>
      <c r="F2" s="2" t="s">
        <v>17</v>
      </c>
      <c r="G2" s="2">
        <v>100</v>
      </c>
      <c r="H2" s="2">
        <v>1</v>
      </c>
      <c r="I2" s="12" t="s">
        <v>11</v>
      </c>
    </row>
    <row r="3" spans="1:9">
      <c r="A3" s="4" t="s">
        <v>45</v>
      </c>
      <c r="B3" s="2" t="s">
        <v>54</v>
      </c>
      <c r="C3" s="2" t="s">
        <v>15</v>
      </c>
      <c r="D3" s="2">
        <v>95</v>
      </c>
      <c r="E3" s="2">
        <v>40</v>
      </c>
      <c r="F3" s="2" t="s">
        <v>17</v>
      </c>
      <c r="G3" s="2">
        <v>100</v>
      </c>
      <c r="H3" s="2">
        <v>1</v>
      </c>
      <c r="I3" s="12" t="s">
        <v>11</v>
      </c>
    </row>
    <row r="4" spans="1:9">
      <c r="A4" s="4" t="s">
        <v>62</v>
      </c>
      <c r="B4" s="2" t="s">
        <v>74</v>
      </c>
      <c r="C4" s="2" t="s">
        <v>15</v>
      </c>
      <c r="D4" s="2">
        <v>150</v>
      </c>
      <c r="E4" s="2">
        <v>35</v>
      </c>
      <c r="F4" s="2" t="s">
        <v>17</v>
      </c>
      <c r="G4" s="2">
        <v>80</v>
      </c>
      <c r="H4" s="2">
        <v>1</v>
      </c>
      <c r="I4" s="12" t="s">
        <v>11</v>
      </c>
    </row>
    <row r="5" spans="1:9">
      <c r="A5" s="4" t="s">
        <v>49</v>
      </c>
      <c r="B5" s="2" t="s">
        <v>50</v>
      </c>
      <c r="C5" s="2" t="s">
        <v>51</v>
      </c>
      <c r="D5" s="2">
        <v>150</v>
      </c>
      <c r="E5" s="2">
        <v>50</v>
      </c>
      <c r="F5" s="2" t="s">
        <v>17</v>
      </c>
      <c r="G5" s="2">
        <v>200</v>
      </c>
      <c r="H5" s="2">
        <v>1</v>
      </c>
      <c r="I5" s="12" t="s">
        <v>53</v>
      </c>
    </row>
    <row r="6" spans="1:9">
      <c r="A6" s="4" t="s">
        <v>70</v>
      </c>
      <c r="B6" s="2" t="s">
        <v>72</v>
      </c>
      <c r="C6" s="2" t="s">
        <v>51</v>
      </c>
      <c r="D6" s="2">
        <v>110</v>
      </c>
      <c r="E6" s="2">
        <v>40</v>
      </c>
      <c r="F6" s="2" t="s">
        <v>17</v>
      </c>
      <c r="G6" s="2">
        <v>200</v>
      </c>
      <c r="H6" s="2">
        <v>1</v>
      </c>
      <c r="I6" s="12" t="s">
        <v>53</v>
      </c>
    </row>
    <row r="7" spans="1:9">
      <c r="A7" s="4" t="s">
        <v>83</v>
      </c>
      <c r="B7" s="2" t="s">
        <v>87</v>
      </c>
      <c r="C7" s="2" t="s">
        <v>51</v>
      </c>
      <c r="D7" s="2">
        <v>85</v>
      </c>
      <c r="E7" s="2">
        <v>30</v>
      </c>
      <c r="F7" s="2" t="s">
        <v>88</v>
      </c>
      <c r="G7" s="2">
        <v>150</v>
      </c>
      <c r="H7" s="2">
        <v>1</v>
      </c>
      <c r="I7" s="12" t="s">
        <v>53</v>
      </c>
    </row>
    <row r="8" spans="1:9">
      <c r="A8" s="4" t="s">
        <v>23</v>
      </c>
      <c r="B8" s="2" t="s">
        <v>24</v>
      </c>
      <c r="C8" s="2" t="s">
        <v>26</v>
      </c>
      <c r="D8" s="2">
        <v>300</v>
      </c>
      <c r="E8" s="2">
        <v>100</v>
      </c>
      <c r="F8" s="2" t="s">
        <v>27</v>
      </c>
      <c r="G8" s="2">
        <v>0</v>
      </c>
      <c r="H8" s="2">
        <v>1</v>
      </c>
      <c r="I8" s="12" t="s">
        <v>31</v>
      </c>
    </row>
    <row r="9" spans="1:9">
      <c r="A9" s="4" t="s">
        <v>33</v>
      </c>
      <c r="B9" s="2" t="s">
        <v>34</v>
      </c>
      <c r="C9" s="2" t="s">
        <v>26</v>
      </c>
      <c r="D9" s="2">
        <v>240</v>
      </c>
      <c r="E9" s="2">
        <v>80</v>
      </c>
      <c r="F9" s="2" t="s">
        <v>36</v>
      </c>
      <c r="G9" s="2">
        <v>0</v>
      </c>
      <c r="H9" s="2">
        <v>1</v>
      </c>
      <c r="I9" s="12" t="s">
        <v>31</v>
      </c>
    </row>
    <row r="10" spans="1:9">
      <c r="A10" s="4" t="s">
        <v>37</v>
      </c>
      <c r="B10" s="2" t="s">
        <v>39</v>
      </c>
      <c r="C10" s="2" t="s">
        <v>26</v>
      </c>
      <c r="D10" s="2">
        <v>650</v>
      </c>
      <c r="E10" s="2">
        <v>200</v>
      </c>
      <c r="F10" s="2" t="s">
        <v>17</v>
      </c>
      <c r="G10" s="2">
        <v>500</v>
      </c>
      <c r="H10" s="2">
        <v>2</v>
      </c>
      <c r="I10" s="12" t="s">
        <v>40</v>
      </c>
    </row>
    <row r="11" spans="1:9">
      <c r="A11" s="4" t="s">
        <v>41</v>
      </c>
      <c r="B11" s="2" t="s">
        <v>43</v>
      </c>
      <c r="C11" s="2" t="s">
        <v>26</v>
      </c>
      <c r="D11" s="2">
        <v>900</v>
      </c>
      <c r="E11" s="2">
        <v>300</v>
      </c>
      <c r="F11" s="2" t="s">
        <v>17</v>
      </c>
      <c r="G11" s="2">
        <v>1000</v>
      </c>
      <c r="H11" s="2">
        <v>1</v>
      </c>
      <c r="I11" s="12" t="s">
        <v>31</v>
      </c>
    </row>
    <row r="12" spans="1:9">
      <c r="A12" s="4" t="s">
        <v>46</v>
      </c>
      <c r="B12" s="2" t="s">
        <v>47</v>
      </c>
      <c r="C12" s="2" t="s">
        <v>26</v>
      </c>
      <c r="D12" s="2">
        <v>180</v>
      </c>
      <c r="E12" s="2">
        <v>60</v>
      </c>
      <c r="F12" s="2" t="s">
        <v>48</v>
      </c>
      <c r="G12" s="2">
        <v>0</v>
      </c>
      <c r="H12" s="2">
        <v>2</v>
      </c>
      <c r="I12" s="12" t="s">
        <v>31</v>
      </c>
    </row>
    <row r="13" spans="1:9">
      <c r="A13" s="4" t="s">
        <v>58</v>
      </c>
      <c r="B13" s="2" t="s">
        <v>59</v>
      </c>
      <c r="C13" s="2" t="s">
        <v>26</v>
      </c>
      <c r="D13" s="2">
        <v>260</v>
      </c>
      <c r="E13" s="2">
        <v>100</v>
      </c>
      <c r="F13" s="2" t="s">
        <v>27</v>
      </c>
      <c r="G13" s="2">
        <v>0</v>
      </c>
      <c r="H13" s="2">
        <v>1</v>
      </c>
      <c r="I13" s="12" t="s">
        <v>31</v>
      </c>
    </row>
    <row r="14" spans="1:9">
      <c r="A14" s="4" t="s">
        <v>60</v>
      </c>
      <c r="B14" s="2" t="s">
        <v>61</v>
      </c>
      <c r="C14" s="2" t="s">
        <v>26</v>
      </c>
      <c r="D14" s="2">
        <v>170</v>
      </c>
      <c r="E14" s="2">
        <v>70</v>
      </c>
      <c r="F14" s="2" t="s">
        <v>17</v>
      </c>
      <c r="G14" s="2">
        <v>200</v>
      </c>
      <c r="H14" s="2">
        <v>2</v>
      </c>
      <c r="I14" s="12" t="s">
        <v>31</v>
      </c>
    </row>
    <row r="15" spans="1:9">
      <c r="A15" s="4" t="s">
        <v>63</v>
      </c>
      <c r="B15" s="2" t="s">
        <v>64</v>
      </c>
      <c r="C15" s="2" t="s">
        <v>26</v>
      </c>
      <c r="D15" s="2">
        <v>145</v>
      </c>
      <c r="E15" s="2">
        <v>50</v>
      </c>
      <c r="F15" s="2" t="s">
        <v>17</v>
      </c>
      <c r="G15" s="2">
        <v>150</v>
      </c>
      <c r="H15" s="2">
        <v>2</v>
      </c>
      <c r="I15" s="12" t="s">
        <v>31</v>
      </c>
    </row>
    <row r="16" spans="1:9">
      <c r="A16" s="4" t="s">
        <v>65</v>
      </c>
      <c r="B16" s="2" t="s">
        <v>66</v>
      </c>
      <c r="C16" s="2" t="s">
        <v>26</v>
      </c>
      <c r="D16" s="2">
        <v>420</v>
      </c>
      <c r="E16" s="2">
        <v>150</v>
      </c>
      <c r="F16" s="2" t="s">
        <v>27</v>
      </c>
      <c r="G16" s="2">
        <v>0</v>
      </c>
      <c r="H16" s="2">
        <v>1</v>
      </c>
      <c r="I16" s="12" t="s">
        <v>31</v>
      </c>
    </row>
    <row r="17" spans="1:9">
      <c r="A17" s="4" t="s">
        <v>67</v>
      </c>
      <c r="B17" s="2" t="s">
        <v>69</v>
      </c>
      <c r="C17" s="2" t="s">
        <v>26</v>
      </c>
      <c r="D17" s="2">
        <v>380</v>
      </c>
      <c r="E17" s="2">
        <v>120</v>
      </c>
      <c r="F17" s="2" t="s">
        <v>17</v>
      </c>
      <c r="G17" s="2">
        <v>300</v>
      </c>
      <c r="H17" s="2">
        <v>1</v>
      </c>
      <c r="I17" s="12" t="s">
        <v>31</v>
      </c>
    </row>
    <row r="18" spans="1:9">
      <c r="A18" s="4" t="s">
        <v>73</v>
      </c>
      <c r="B18" s="2" t="s">
        <v>78</v>
      </c>
      <c r="C18" s="2" t="s">
        <v>26</v>
      </c>
      <c r="D18" s="2">
        <v>190</v>
      </c>
      <c r="E18" s="2">
        <v>60</v>
      </c>
      <c r="F18" s="2" t="s">
        <v>27</v>
      </c>
      <c r="G18" s="2">
        <v>0</v>
      </c>
      <c r="H18" s="2">
        <v>2</v>
      </c>
      <c r="I18" s="12" t="s">
        <v>31</v>
      </c>
    </row>
    <row r="19" spans="1:9">
      <c r="A19" s="4" t="s">
        <v>75</v>
      </c>
      <c r="B19" s="2" t="s">
        <v>82</v>
      </c>
      <c r="C19" s="2" t="s">
        <v>26</v>
      </c>
      <c r="D19" s="2">
        <v>130</v>
      </c>
      <c r="E19" s="2">
        <v>50</v>
      </c>
      <c r="F19" s="2" t="s">
        <v>17</v>
      </c>
      <c r="G19" s="2">
        <v>150</v>
      </c>
      <c r="H19" s="2">
        <v>2</v>
      </c>
      <c r="I19" s="12" t="s">
        <v>31</v>
      </c>
    </row>
    <row r="20" spans="1:9">
      <c r="A20" s="4" t="s">
        <v>77</v>
      </c>
      <c r="B20" s="2" t="s">
        <v>84</v>
      </c>
      <c r="C20" s="2" t="s">
        <v>26</v>
      </c>
      <c r="D20" s="2">
        <v>210</v>
      </c>
      <c r="E20" s="2">
        <v>80</v>
      </c>
      <c r="F20" s="2" t="s">
        <v>17</v>
      </c>
      <c r="G20" s="2">
        <v>200</v>
      </c>
      <c r="H20" s="2">
        <v>2</v>
      </c>
      <c r="I20" s="12" t="s">
        <v>31</v>
      </c>
    </row>
    <row r="21" spans="1:9">
      <c r="A21" s="4" t="s">
        <v>79</v>
      </c>
      <c r="B21" s="2" t="s">
        <v>85</v>
      </c>
      <c r="C21" s="2" t="s">
        <v>26</v>
      </c>
      <c r="D21" s="2">
        <v>160</v>
      </c>
      <c r="E21" s="2">
        <v>50</v>
      </c>
      <c r="F21" s="2" t="s">
        <v>27</v>
      </c>
      <c r="G21" s="2">
        <v>0</v>
      </c>
      <c r="H21" s="2">
        <v>1</v>
      </c>
      <c r="I21" s="12" t="s">
        <v>31</v>
      </c>
    </row>
    <row r="22" spans="1:9">
      <c r="A22" s="4" t="s">
        <v>81</v>
      </c>
      <c r="B22" s="2" t="s">
        <v>86</v>
      </c>
      <c r="C22" s="2" t="s">
        <v>26</v>
      </c>
      <c r="D22" s="2">
        <v>90</v>
      </c>
      <c r="E22" s="2">
        <v>40</v>
      </c>
      <c r="F22" s="2" t="s">
        <v>17</v>
      </c>
      <c r="G22" s="2">
        <v>100</v>
      </c>
      <c r="H22" s="2">
        <v>2</v>
      </c>
      <c r="I22" s="12" t="s">
        <v>31</v>
      </c>
    </row>
    <row r="23" spans="1:9">
      <c r="A23" s="4" t="s">
        <v>18</v>
      </c>
      <c r="B23" s="2" t="s">
        <v>19</v>
      </c>
      <c r="C23" s="2" t="s">
        <v>20</v>
      </c>
      <c r="D23" s="2">
        <v>80</v>
      </c>
      <c r="E23" s="2">
        <v>30</v>
      </c>
      <c r="F23" s="2" t="s">
        <v>17</v>
      </c>
      <c r="G23" s="2">
        <v>80</v>
      </c>
      <c r="H23" s="2">
        <v>1</v>
      </c>
      <c r="I23" s="12" t="s">
        <v>22</v>
      </c>
    </row>
    <row r="24" spans="1:9">
      <c r="A24" s="4" t="s">
        <v>55</v>
      </c>
      <c r="B24" s="2" t="s">
        <v>56</v>
      </c>
      <c r="C24" s="2" t="s">
        <v>20</v>
      </c>
      <c r="D24" s="2">
        <v>70</v>
      </c>
      <c r="E24" s="2">
        <v>25</v>
      </c>
      <c r="F24" s="2" t="s">
        <v>17</v>
      </c>
      <c r="G24" s="2">
        <v>60</v>
      </c>
      <c r="H24" s="2">
        <v>1</v>
      </c>
      <c r="I24" s="12" t="s">
        <v>22</v>
      </c>
    </row>
    <row r="25" spans="1:9">
      <c r="A25" s="9" t="s">
        <v>71</v>
      </c>
      <c r="B25" s="10" t="s">
        <v>76</v>
      </c>
      <c r="C25" s="10" t="s">
        <v>20</v>
      </c>
      <c r="D25" s="10">
        <v>55</v>
      </c>
      <c r="E25" s="10">
        <v>20</v>
      </c>
      <c r="F25" s="10" t="s">
        <v>17</v>
      </c>
      <c r="G25" s="10">
        <v>60</v>
      </c>
      <c r="H25" s="10">
        <v>1</v>
      </c>
      <c r="I25" s="13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5"/>
  <sheetViews>
    <sheetView workbookViewId="0">
      <selection activeCell="D2" sqref="D2"/>
    </sheetView>
  </sheetViews>
  <sheetFormatPr defaultColWidth="12.5703125" defaultRowHeight="15.75" customHeight="1"/>
  <sheetData>
    <row r="1" spans="1:4">
      <c r="A1" s="1" t="s">
        <v>2</v>
      </c>
      <c r="B1" s="1" t="s">
        <v>10</v>
      </c>
      <c r="C1" s="1" t="s">
        <v>12</v>
      </c>
      <c r="D1" s="11"/>
    </row>
    <row r="2" spans="1:4">
      <c r="A2" s="2" t="s">
        <v>13</v>
      </c>
      <c r="B2" s="2" t="s">
        <v>16</v>
      </c>
      <c r="C2" s="2">
        <v>80</v>
      </c>
    </row>
    <row r="3" spans="1:4">
      <c r="A3" s="2" t="s">
        <v>13</v>
      </c>
      <c r="B3" s="2" t="s">
        <v>21</v>
      </c>
      <c r="C3" s="2">
        <v>120</v>
      </c>
    </row>
    <row r="4" spans="1:4">
      <c r="A4" s="2" t="s">
        <v>13</v>
      </c>
      <c r="B4" s="2" t="s">
        <v>25</v>
      </c>
      <c r="C4" s="2">
        <v>100</v>
      </c>
    </row>
    <row r="5" spans="1:4">
      <c r="A5" s="2" t="s">
        <v>13</v>
      </c>
      <c r="B5" s="2" t="s">
        <v>44</v>
      </c>
      <c r="C5" s="2">
        <v>140</v>
      </c>
    </row>
    <row r="6" spans="1:4">
      <c r="A6" s="2" t="s">
        <v>13</v>
      </c>
      <c r="B6" s="2" t="s">
        <v>35</v>
      </c>
      <c r="C6" s="2">
        <v>160</v>
      </c>
    </row>
    <row r="7" spans="1:4">
      <c r="A7" s="2" t="s">
        <v>13</v>
      </c>
      <c r="B7" s="2" t="s">
        <v>38</v>
      </c>
      <c r="C7" s="2">
        <v>130</v>
      </c>
    </row>
    <row r="8" spans="1:4">
      <c r="A8" s="2" t="s">
        <v>13</v>
      </c>
      <c r="B8" s="2" t="s">
        <v>52</v>
      </c>
      <c r="C8" s="2">
        <v>170</v>
      </c>
    </row>
    <row r="9" spans="1:4">
      <c r="A9" s="2" t="s">
        <v>13</v>
      </c>
      <c r="B9" s="2" t="s">
        <v>42</v>
      </c>
      <c r="C9" s="2">
        <v>150</v>
      </c>
    </row>
    <row r="10" spans="1:4">
      <c r="A10" s="2" t="s">
        <v>45</v>
      </c>
      <c r="B10" s="2" t="s">
        <v>16</v>
      </c>
      <c r="C10" s="2">
        <v>70</v>
      </c>
    </row>
    <row r="11" spans="1:4">
      <c r="A11" s="2" t="s">
        <v>45</v>
      </c>
      <c r="B11" s="2" t="s">
        <v>21</v>
      </c>
      <c r="C11" s="2">
        <v>90</v>
      </c>
    </row>
    <row r="12" spans="1:4">
      <c r="A12" s="2" t="s">
        <v>45</v>
      </c>
      <c r="B12" s="2" t="s">
        <v>25</v>
      </c>
      <c r="C12" s="2">
        <v>110</v>
      </c>
    </row>
    <row r="13" spans="1:4">
      <c r="A13" s="2" t="s">
        <v>45</v>
      </c>
      <c r="B13" s="2" t="s">
        <v>44</v>
      </c>
      <c r="C13" s="2">
        <v>120</v>
      </c>
    </row>
    <row r="14" spans="1:4">
      <c r="A14" s="2" t="s">
        <v>45</v>
      </c>
      <c r="B14" s="2" t="s">
        <v>35</v>
      </c>
      <c r="C14" s="2">
        <v>130</v>
      </c>
    </row>
    <row r="15" spans="1:4">
      <c r="A15" s="2" t="s">
        <v>45</v>
      </c>
      <c r="B15" s="2" t="s">
        <v>38</v>
      </c>
      <c r="C15" s="2">
        <v>120</v>
      </c>
    </row>
    <row r="16" spans="1:4">
      <c r="A16" s="2" t="s">
        <v>45</v>
      </c>
      <c r="B16" s="2" t="s">
        <v>52</v>
      </c>
      <c r="C16" s="2">
        <v>150</v>
      </c>
    </row>
    <row r="17" spans="1:3">
      <c r="A17" s="2" t="s">
        <v>45</v>
      </c>
      <c r="B17" s="2" t="s">
        <v>42</v>
      </c>
      <c r="C17" s="2">
        <v>140</v>
      </c>
    </row>
    <row r="18" spans="1:3">
      <c r="A18" s="2" t="s">
        <v>62</v>
      </c>
      <c r="B18" s="2" t="s">
        <v>16</v>
      </c>
      <c r="C18" s="2">
        <v>60</v>
      </c>
    </row>
    <row r="19" spans="1:3">
      <c r="A19" s="2" t="s">
        <v>62</v>
      </c>
      <c r="B19" s="2" t="s">
        <v>21</v>
      </c>
      <c r="C19" s="2">
        <v>80</v>
      </c>
    </row>
    <row r="20" spans="1:3">
      <c r="A20" s="2" t="s">
        <v>62</v>
      </c>
      <c r="B20" s="2" t="s">
        <v>25</v>
      </c>
      <c r="C20" s="2">
        <v>95</v>
      </c>
    </row>
    <row r="21" spans="1:3">
      <c r="A21" s="2" t="s">
        <v>62</v>
      </c>
      <c r="B21" s="2" t="s">
        <v>44</v>
      </c>
      <c r="C21" s="2">
        <v>100</v>
      </c>
    </row>
    <row r="22" spans="1:3">
      <c r="A22" s="2" t="s">
        <v>62</v>
      </c>
      <c r="B22" s="2" t="s">
        <v>35</v>
      </c>
      <c r="C22" s="2">
        <v>105</v>
      </c>
    </row>
    <row r="23" spans="1:3">
      <c r="A23" s="2" t="s">
        <v>62</v>
      </c>
      <c r="B23" s="2" t="s">
        <v>38</v>
      </c>
      <c r="C23" s="2">
        <v>110</v>
      </c>
    </row>
    <row r="24" spans="1:3">
      <c r="A24" s="2" t="s">
        <v>62</v>
      </c>
      <c r="B24" s="2" t="s">
        <v>52</v>
      </c>
      <c r="C24" s="2">
        <v>125</v>
      </c>
    </row>
    <row r="25" spans="1:3">
      <c r="A25" s="2" t="s">
        <v>62</v>
      </c>
      <c r="B25" s="2" t="s">
        <v>42</v>
      </c>
      <c r="C25" s="2">
        <v>130</v>
      </c>
    </row>
  </sheetData>
  <sheetProtection algorithmName="SHA-512" hashValue="Nqo2twIgKOhdFl/p3ZVa4Ryqur3Di61hd2qYTAdecNgA3cQX/Wz+fJOzey7BkFo/iB/hiMrlP/levbQLA3HLXw==" saltValue="Aep3fGlSdEdx2nsoGNeYWw==" spinCount="100000" sheet="1" objects="1" scenarios="1" selectLockedCells="1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1D1-D22F-43BD-9FA3-566377C49E6C}">
  <dimension ref="A1:BT74"/>
  <sheetViews>
    <sheetView topLeftCell="BI46" zoomScale="83" zoomScaleNormal="83" workbookViewId="0">
      <selection activeCell="BM57" sqref="BM57"/>
    </sheetView>
  </sheetViews>
  <sheetFormatPr defaultRowHeight="12.75"/>
  <cols>
    <col min="3" max="3" width="24.85546875" bestFit="1" customWidth="1"/>
    <col min="15" max="15" width="24.85546875" bestFit="1" customWidth="1"/>
    <col min="27" max="27" width="24.85546875" bestFit="1" customWidth="1"/>
    <col min="39" max="39" width="24.85546875" bestFit="1" customWidth="1"/>
    <col min="51" max="51" width="24.85546875" bestFit="1" customWidth="1"/>
    <col min="63" max="63" width="24.85546875" bestFit="1" customWidth="1"/>
  </cols>
  <sheetData>
    <row r="1" spans="1:72" ht="60">
      <c r="A1" s="18" t="s">
        <v>102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</row>
    <row r="2" spans="1:72" ht="12.75" customHeight="1">
      <c r="A2" s="19" t="s">
        <v>96</v>
      </c>
      <c r="B2" s="20"/>
      <c r="C2" s="17" t="s">
        <v>0</v>
      </c>
      <c r="D2" t="s">
        <v>13</v>
      </c>
      <c r="E2">
        <f>(_xlfn.XMATCH(D2,Item[Item Code],0,))+1</f>
        <v>2</v>
      </c>
      <c r="M2" s="19" t="s">
        <v>97</v>
      </c>
      <c r="N2" s="20"/>
      <c r="O2" s="17" t="s">
        <v>0</v>
      </c>
      <c r="P2" s="17" t="s">
        <v>45</v>
      </c>
      <c r="Q2">
        <f>(_xlfn.XMATCH(P2,Item[Item Code],0,))+1</f>
        <v>3</v>
      </c>
      <c r="Y2" s="19" t="s">
        <v>98</v>
      </c>
      <c r="Z2" s="20"/>
      <c r="AA2" s="17" t="s">
        <v>0</v>
      </c>
      <c r="AB2" s="17" t="s">
        <v>62</v>
      </c>
      <c r="AC2">
        <f>(_xlfn.XMATCH(AB2,Item[Item Code],0,))+1</f>
        <v>4</v>
      </c>
      <c r="AK2" s="19" t="s">
        <v>99</v>
      </c>
      <c r="AL2" s="20"/>
      <c r="AM2" t="s">
        <v>0</v>
      </c>
      <c r="AN2" t="s">
        <v>18</v>
      </c>
      <c r="AO2">
        <v>23</v>
      </c>
      <c r="AW2" s="19" t="s">
        <v>100</v>
      </c>
      <c r="AX2" s="20"/>
      <c r="AY2" t="s">
        <v>0</v>
      </c>
      <c r="AZ2" t="s">
        <v>55</v>
      </c>
      <c r="BA2">
        <v>24</v>
      </c>
      <c r="BI2" s="19" t="s">
        <v>101</v>
      </c>
      <c r="BJ2" s="20"/>
      <c r="BK2" t="s">
        <v>0</v>
      </c>
      <c r="BL2" t="s">
        <v>71</v>
      </c>
      <c r="BM2">
        <v>25</v>
      </c>
    </row>
    <row r="3" spans="1:72">
      <c r="A3" s="20"/>
      <c r="B3" s="20"/>
      <c r="C3" s="17" t="s">
        <v>5</v>
      </c>
      <c r="D3">
        <f>HLOOKUP(C3,Item[[#All],[Item Code]:[Lead Time]],E$2,)</f>
        <v>120</v>
      </c>
      <c r="M3" s="20"/>
      <c r="N3" s="20"/>
      <c r="O3" s="17" t="s">
        <v>5</v>
      </c>
      <c r="P3">
        <f>HLOOKUP(O3,Item[[#All],[Item Code]:[Lead Time]],Q$2,)</f>
        <v>95</v>
      </c>
      <c r="Y3" s="20"/>
      <c r="Z3" s="20"/>
      <c r="AA3" s="17" t="s">
        <v>5</v>
      </c>
      <c r="AB3">
        <f>HLOOKUP(AA3,Item[[#All],[Item Code]:[Lead Time]],AC$2,)</f>
        <v>150</v>
      </c>
      <c r="AK3" s="20"/>
      <c r="AL3" s="20"/>
      <c r="AM3" t="s">
        <v>5</v>
      </c>
      <c r="AN3">
        <v>80</v>
      </c>
      <c r="AW3" s="20"/>
      <c r="AX3" s="20"/>
      <c r="AY3" t="s">
        <v>5</v>
      </c>
      <c r="AZ3">
        <v>70</v>
      </c>
      <c r="BI3" s="20"/>
      <c r="BJ3" s="20"/>
      <c r="BK3" t="s">
        <v>5</v>
      </c>
      <c r="BL3">
        <v>55</v>
      </c>
    </row>
    <row r="4" spans="1:72">
      <c r="A4" s="20"/>
      <c r="B4" s="20"/>
      <c r="C4" s="17" t="s">
        <v>6</v>
      </c>
      <c r="D4">
        <f>HLOOKUP(C4,Item[[#All],[Item Code]:[Lead Time]],E$2,)</f>
        <v>50</v>
      </c>
      <c r="M4" s="20"/>
      <c r="N4" s="20"/>
      <c r="O4" s="17" t="s">
        <v>6</v>
      </c>
      <c r="P4">
        <f>HLOOKUP(O4,Item[[#All],[Item Code]:[Lead Time]],Q$2,)</f>
        <v>40</v>
      </c>
      <c r="Y4" s="20"/>
      <c r="Z4" s="20"/>
      <c r="AA4" s="17" t="s">
        <v>6</v>
      </c>
      <c r="AB4">
        <f>HLOOKUP(AA4,Item[[#All],[Item Code]:[Lead Time]],AC$2,)</f>
        <v>35</v>
      </c>
      <c r="AK4" s="20"/>
      <c r="AL4" s="20"/>
      <c r="AM4" t="s">
        <v>6</v>
      </c>
      <c r="AN4">
        <v>30</v>
      </c>
      <c r="AW4" s="20"/>
      <c r="AX4" s="20"/>
      <c r="AY4" t="s">
        <v>6</v>
      </c>
      <c r="AZ4">
        <v>25</v>
      </c>
      <c r="BI4" s="20"/>
      <c r="BJ4" s="20"/>
      <c r="BK4" t="s">
        <v>6</v>
      </c>
      <c r="BL4">
        <v>20</v>
      </c>
    </row>
    <row r="5" spans="1:72">
      <c r="A5" s="20"/>
      <c r="B5" s="20"/>
      <c r="C5" s="17" t="s">
        <v>8</v>
      </c>
      <c r="D5">
        <f>HLOOKUP(C5,Item[[#All],[Item Code]:[Lead Time]],E$2,)</f>
        <v>100</v>
      </c>
      <c r="M5" s="20"/>
      <c r="N5" s="20"/>
      <c r="O5" s="17" t="s">
        <v>8</v>
      </c>
      <c r="P5">
        <f>HLOOKUP(O5,Item[[#All],[Item Code]:[Lead Time]],Q$2,)</f>
        <v>100</v>
      </c>
      <c r="Y5" s="20"/>
      <c r="Z5" s="20"/>
      <c r="AA5" s="17" t="s">
        <v>8</v>
      </c>
      <c r="AB5">
        <f>HLOOKUP(AA5,Item[[#All],[Item Code]:[Lead Time]],AC$2,)</f>
        <v>80</v>
      </c>
      <c r="AK5" s="20"/>
      <c r="AL5" s="20"/>
      <c r="AM5" t="s">
        <v>8</v>
      </c>
      <c r="AN5">
        <v>80</v>
      </c>
      <c r="AW5" s="20"/>
      <c r="AX5" s="20"/>
      <c r="AY5" t="s">
        <v>8</v>
      </c>
      <c r="AZ5">
        <v>60</v>
      </c>
      <c r="BI5" s="20"/>
      <c r="BJ5" s="20"/>
      <c r="BK5" t="s">
        <v>8</v>
      </c>
      <c r="BL5">
        <v>60</v>
      </c>
    </row>
    <row r="6" spans="1:72">
      <c r="A6" s="20"/>
      <c r="B6" s="20"/>
      <c r="C6" s="17" t="s">
        <v>9</v>
      </c>
      <c r="D6">
        <f>HLOOKUP(C6,Item[[#All],[Item Code]:[Lead Time]],E$2,)</f>
        <v>1</v>
      </c>
      <c r="M6" s="20"/>
      <c r="N6" s="20"/>
      <c r="O6" s="17" t="s">
        <v>9</v>
      </c>
      <c r="P6">
        <f>HLOOKUP(O6,Item[[#All],[Item Code]:[Lead Time]],Q$2,)</f>
        <v>1</v>
      </c>
      <c r="Y6" s="20"/>
      <c r="Z6" s="20"/>
      <c r="AA6" s="17" t="s">
        <v>9</v>
      </c>
      <c r="AB6">
        <f>HLOOKUP(AA6,Item[[#All],[Item Code]:[Lead Time]],AC$2,)</f>
        <v>1</v>
      </c>
      <c r="AK6" s="20"/>
      <c r="AL6" s="20"/>
      <c r="AM6" t="s">
        <v>9</v>
      </c>
      <c r="AN6">
        <v>1</v>
      </c>
      <c r="AW6" s="20"/>
      <c r="AX6" s="20"/>
      <c r="AY6" t="s">
        <v>9</v>
      </c>
      <c r="AZ6">
        <v>1</v>
      </c>
      <c r="BI6" s="20"/>
      <c r="BJ6" s="20"/>
      <c r="BK6" t="s">
        <v>9</v>
      </c>
      <c r="BL6">
        <v>1</v>
      </c>
    </row>
    <row r="7" spans="1:72">
      <c r="A7" s="20"/>
      <c r="B7" s="20"/>
      <c r="C7" t="s">
        <v>90</v>
      </c>
      <c r="D7">
        <f>_xlfn.XLOOKUP(D2,BOM[Parent Item],BOM[Quantity Per Assembly])</f>
        <v>1</v>
      </c>
      <c r="M7" s="20"/>
      <c r="N7" s="20"/>
      <c r="O7" t="s">
        <v>90</v>
      </c>
      <c r="P7">
        <f>_xlfn.XLOOKUP(P2,BOM[Parent Item],BOM[Quantity Per Assembly])</f>
        <v>1</v>
      </c>
      <c r="Y7" s="20"/>
      <c r="Z7" s="20"/>
      <c r="AA7" t="s">
        <v>90</v>
      </c>
      <c r="AB7">
        <f>_xlfn.XLOOKUP(AB2,BOM[Parent Item],BOM[Quantity Per Assembly])</f>
        <v>1</v>
      </c>
      <c r="AK7" s="20"/>
      <c r="AL7" s="20"/>
      <c r="AM7" t="s">
        <v>90</v>
      </c>
      <c r="AN7">
        <v>1</v>
      </c>
      <c r="AW7" s="20"/>
      <c r="AX7" s="20"/>
      <c r="AY7" t="s">
        <v>90</v>
      </c>
      <c r="AZ7">
        <v>1</v>
      </c>
      <c r="BI7" s="20"/>
      <c r="BJ7" s="20"/>
      <c r="BK7" t="s">
        <v>90</v>
      </c>
      <c r="BL7">
        <v>1</v>
      </c>
    </row>
    <row r="8" spans="1:72">
      <c r="A8" s="20"/>
      <c r="B8" s="20"/>
      <c r="C8" t="s">
        <v>91</v>
      </c>
      <c r="D8" cm="1">
        <f t="array" ref="D8:L8">_xlfn.SEQUENCE(,9,0)</f>
        <v>0</v>
      </c>
      <c r="E8">
        <v>1</v>
      </c>
      <c r="F8">
        <v>2</v>
      </c>
      <c r="G8">
        <v>3</v>
      </c>
      <c r="H8">
        <v>4</v>
      </c>
      <c r="I8">
        <v>5</v>
      </c>
      <c r="J8">
        <v>6</v>
      </c>
      <c r="K8">
        <v>7</v>
      </c>
      <c r="L8">
        <v>8</v>
      </c>
      <c r="M8" s="20"/>
      <c r="N8" s="20"/>
      <c r="O8" t="s">
        <v>91</v>
      </c>
      <c r="P8" cm="1">
        <f t="array" ref="P8:X8">_xlfn.SEQUENCE(,9,0)</f>
        <v>0</v>
      </c>
      <c r="Q8">
        <v>1</v>
      </c>
      <c r="R8">
        <v>2</v>
      </c>
      <c r="S8">
        <v>3</v>
      </c>
      <c r="T8">
        <v>4</v>
      </c>
      <c r="U8">
        <v>5</v>
      </c>
      <c r="V8">
        <v>6</v>
      </c>
      <c r="W8">
        <v>7</v>
      </c>
      <c r="X8">
        <v>8</v>
      </c>
      <c r="Y8" s="20"/>
      <c r="Z8" s="20"/>
      <c r="AA8" t="s">
        <v>91</v>
      </c>
      <c r="AB8" cm="1">
        <f t="array" ref="AB8:AJ8">_xlfn.SEQUENCE(,9,0)</f>
        <v>0</v>
      </c>
      <c r="AC8">
        <v>1</v>
      </c>
      <c r="AD8">
        <v>2</v>
      </c>
      <c r="AE8">
        <v>3</v>
      </c>
      <c r="AF8">
        <v>4</v>
      </c>
      <c r="AG8">
        <v>5</v>
      </c>
      <c r="AH8">
        <v>6</v>
      </c>
      <c r="AI8">
        <v>7</v>
      </c>
      <c r="AJ8">
        <v>8</v>
      </c>
      <c r="AK8" s="20"/>
      <c r="AL8" s="20"/>
      <c r="AM8" t="s">
        <v>91</v>
      </c>
      <c r="AN8">
        <v>0</v>
      </c>
      <c r="AO8">
        <v>1</v>
      </c>
      <c r="AP8">
        <v>2</v>
      </c>
      <c r="AQ8">
        <v>3</v>
      </c>
      <c r="AR8">
        <v>4</v>
      </c>
      <c r="AS8">
        <v>5</v>
      </c>
      <c r="AT8">
        <v>6</v>
      </c>
      <c r="AU8">
        <v>7</v>
      </c>
      <c r="AV8">
        <v>8</v>
      </c>
      <c r="AW8" s="20"/>
      <c r="AX8" s="20"/>
      <c r="AY8" t="s">
        <v>91</v>
      </c>
      <c r="AZ8">
        <v>0</v>
      </c>
      <c r="BA8">
        <v>1</v>
      </c>
      <c r="BB8">
        <v>2</v>
      </c>
      <c r="BC8">
        <v>3</v>
      </c>
      <c r="BD8">
        <v>4</v>
      </c>
      <c r="BE8">
        <v>5</v>
      </c>
      <c r="BF8">
        <v>6</v>
      </c>
      <c r="BG8">
        <v>7</v>
      </c>
      <c r="BH8">
        <v>8</v>
      </c>
      <c r="BI8" s="20"/>
      <c r="BJ8" s="20"/>
      <c r="BK8" t="s">
        <v>91</v>
      </c>
      <c r="BL8">
        <v>0</v>
      </c>
      <c r="BM8">
        <v>1</v>
      </c>
      <c r="BN8">
        <v>2</v>
      </c>
      <c r="BO8">
        <v>3</v>
      </c>
      <c r="BP8">
        <v>4</v>
      </c>
      <c r="BQ8">
        <v>5</v>
      </c>
      <c r="BR8">
        <v>6</v>
      </c>
      <c r="BS8">
        <v>7</v>
      </c>
      <c r="BT8">
        <v>8</v>
      </c>
    </row>
    <row r="9" spans="1:72">
      <c r="A9" s="20"/>
      <c r="B9" s="20"/>
      <c r="C9" t="s">
        <v>89</v>
      </c>
      <c r="E9" cm="1">
        <f t="array" ref="E9:L9">TRANSPOSE('MPS INPUT'!C2:C9)</f>
        <v>80</v>
      </c>
      <c r="F9">
        <v>120</v>
      </c>
      <c r="G9">
        <v>100</v>
      </c>
      <c r="H9">
        <v>140</v>
      </c>
      <c r="I9">
        <v>160</v>
      </c>
      <c r="J9">
        <v>130</v>
      </c>
      <c r="K9">
        <v>170</v>
      </c>
      <c r="L9">
        <v>150</v>
      </c>
      <c r="M9" s="20"/>
      <c r="N9" s="20"/>
      <c r="O9" t="s">
        <v>89</v>
      </c>
      <c r="Q9" cm="1">
        <f t="array" ref="Q9:X9">TRANSPOSE('MPS INPUT'!C10:C17)</f>
        <v>70</v>
      </c>
      <c r="R9">
        <v>90</v>
      </c>
      <c r="S9">
        <v>110</v>
      </c>
      <c r="T9">
        <v>120</v>
      </c>
      <c r="U9">
        <v>130</v>
      </c>
      <c r="V9">
        <v>120</v>
      </c>
      <c r="W9">
        <v>150</v>
      </c>
      <c r="X9">
        <v>140</v>
      </c>
      <c r="Y9" s="20"/>
      <c r="Z9" s="20"/>
      <c r="AA9" t="s">
        <v>89</v>
      </c>
      <c r="AC9" cm="1">
        <f t="array" ref="AC9:AJ9">TRANSPOSE('MPS INPUT'!C18:C25)</f>
        <v>60</v>
      </c>
      <c r="AD9">
        <v>80</v>
      </c>
      <c r="AE9">
        <v>95</v>
      </c>
      <c r="AF9">
        <v>100</v>
      </c>
      <c r="AG9">
        <v>105</v>
      </c>
      <c r="AH9">
        <v>110</v>
      </c>
      <c r="AI9">
        <v>125</v>
      </c>
      <c r="AJ9">
        <v>130</v>
      </c>
      <c r="AK9" s="20"/>
      <c r="AL9" s="20"/>
      <c r="AM9" t="s">
        <v>89</v>
      </c>
      <c r="AN9">
        <v>0</v>
      </c>
      <c r="AO9">
        <v>0</v>
      </c>
      <c r="AP9">
        <v>100</v>
      </c>
      <c r="AQ9">
        <v>100</v>
      </c>
      <c r="AR9">
        <v>100</v>
      </c>
      <c r="AS9">
        <v>100</v>
      </c>
      <c r="AT9">
        <v>200</v>
      </c>
      <c r="AU9">
        <v>0</v>
      </c>
      <c r="AV9">
        <v>0</v>
      </c>
      <c r="AW9" s="20"/>
      <c r="AX9" s="20"/>
      <c r="AY9" t="s">
        <v>89</v>
      </c>
      <c r="BA9">
        <v>0</v>
      </c>
      <c r="BB9">
        <v>100</v>
      </c>
      <c r="BC9">
        <v>100</v>
      </c>
      <c r="BD9">
        <v>100</v>
      </c>
      <c r="BE9">
        <v>100</v>
      </c>
      <c r="BF9">
        <v>200</v>
      </c>
      <c r="BG9">
        <v>100</v>
      </c>
      <c r="BH9">
        <v>0</v>
      </c>
      <c r="BI9" s="20"/>
      <c r="BJ9" s="20"/>
      <c r="BK9" t="s">
        <v>89</v>
      </c>
      <c r="BM9">
        <v>0</v>
      </c>
      <c r="BN9">
        <v>80</v>
      </c>
      <c r="BO9">
        <v>80</v>
      </c>
      <c r="BP9">
        <v>160</v>
      </c>
      <c r="BQ9">
        <v>80</v>
      </c>
      <c r="BR9">
        <v>160</v>
      </c>
      <c r="BS9">
        <v>80</v>
      </c>
      <c r="BT9">
        <v>0</v>
      </c>
    </row>
    <row r="10" spans="1:72">
      <c r="A10" s="20"/>
      <c r="B10" s="20"/>
      <c r="C10" t="s">
        <v>28</v>
      </c>
      <c r="E10" cm="1">
        <f t="array" ref="E10:L10">TRANSPOSE('SCHEDULE RECEIPT'!C2:C9)</f>
        <v>0</v>
      </c>
      <c r="F10">
        <v>100</v>
      </c>
      <c r="G10">
        <v>0</v>
      </c>
      <c r="H10">
        <v>0</v>
      </c>
      <c r="I10">
        <v>100</v>
      </c>
      <c r="J10">
        <v>0</v>
      </c>
      <c r="K10">
        <v>0</v>
      </c>
      <c r="L10">
        <v>100</v>
      </c>
      <c r="M10" s="20"/>
      <c r="N10" s="20"/>
      <c r="O10" t="s">
        <v>28</v>
      </c>
      <c r="R10">
        <v>100</v>
      </c>
      <c r="Y10" s="20"/>
      <c r="Z10" s="20"/>
      <c r="AA10" t="s">
        <v>28</v>
      </c>
      <c r="AD10">
        <v>80</v>
      </c>
      <c r="AK10" s="20"/>
      <c r="AL10" s="20"/>
      <c r="AM10" t="s">
        <v>28</v>
      </c>
      <c r="AP10">
        <v>80</v>
      </c>
      <c r="AS10">
        <v>80</v>
      </c>
      <c r="AW10" s="20"/>
      <c r="AX10" s="20"/>
      <c r="AY10" t="s">
        <v>28</v>
      </c>
      <c r="BC10">
        <v>60</v>
      </c>
      <c r="BI10" s="20"/>
      <c r="BJ10" s="20"/>
      <c r="BK10" t="s">
        <v>28</v>
      </c>
      <c r="BO10">
        <v>60</v>
      </c>
    </row>
    <row r="11" spans="1:72">
      <c r="A11" s="20"/>
      <c r="B11" s="20"/>
      <c r="C11" s="17" t="s">
        <v>94</v>
      </c>
      <c r="D11">
        <f>D3</f>
        <v>120</v>
      </c>
      <c r="E11">
        <f>D11+E13+E10+-E9</f>
        <v>140</v>
      </c>
      <c r="F11">
        <f t="shared" ref="F11:L11" si="0">E11+F13+F10+-F9</f>
        <v>120</v>
      </c>
      <c r="G11">
        <f t="shared" si="0"/>
        <v>120</v>
      </c>
      <c r="H11">
        <f t="shared" si="0"/>
        <v>80</v>
      </c>
      <c r="I11">
        <f t="shared" si="0"/>
        <v>120</v>
      </c>
      <c r="J11">
        <f t="shared" si="0"/>
        <v>90</v>
      </c>
      <c r="K11">
        <f t="shared" si="0"/>
        <v>120</v>
      </c>
      <c r="L11">
        <f t="shared" si="0"/>
        <v>70</v>
      </c>
      <c r="M11" s="20"/>
      <c r="N11" s="20"/>
      <c r="O11" s="17" t="s">
        <v>94</v>
      </c>
      <c r="P11">
        <f>P3</f>
        <v>95</v>
      </c>
      <c r="Q11">
        <f>P11+Q13+Q10+-Q9</f>
        <v>125</v>
      </c>
      <c r="R11">
        <f t="shared" ref="R11" si="1">Q11+R13+R10+-R9</f>
        <v>135</v>
      </c>
      <c r="S11">
        <f t="shared" ref="S11" si="2">R11+S13+S10+-S9</f>
        <v>125</v>
      </c>
      <c r="T11">
        <f t="shared" ref="T11" si="3">S11+T13+T10+-T9</f>
        <v>105</v>
      </c>
      <c r="U11">
        <f t="shared" ref="U11" si="4">T11+U13+U10+-U9</f>
        <v>75</v>
      </c>
      <c r="V11">
        <f t="shared" ref="V11" si="5">U11+V13+V10+-V9</f>
        <v>55</v>
      </c>
      <c r="W11">
        <f t="shared" ref="W11" si="6">V11+W13+W10+-W9</f>
        <v>105</v>
      </c>
      <c r="X11">
        <f t="shared" ref="X11" si="7">W11+X13+X10+-X9</f>
        <v>65</v>
      </c>
      <c r="Y11" s="20"/>
      <c r="Z11" s="20"/>
      <c r="AA11" s="17" t="s">
        <v>94</v>
      </c>
      <c r="AB11">
        <f>AB3</f>
        <v>150</v>
      </c>
      <c r="AC11">
        <f>AB11+AC13+AC10+-AC9</f>
        <v>90</v>
      </c>
      <c r="AD11">
        <f t="shared" ref="AD11" si="8">AC11+AD13+AD10+-AD9</f>
        <v>90</v>
      </c>
      <c r="AE11">
        <f t="shared" ref="AE11" si="9">AD11+AE13+AE10+-AE9</f>
        <v>75</v>
      </c>
      <c r="AF11">
        <f t="shared" ref="AF11" si="10">AE11+AF13+AF10+-AF9</f>
        <v>55</v>
      </c>
      <c r="AG11">
        <f t="shared" ref="AG11" si="11">AF11+AG13+AG10+-AG9</f>
        <v>110</v>
      </c>
      <c r="AH11">
        <f t="shared" ref="AH11" si="12">AG11+AH13+AH10+-AH9</f>
        <v>80</v>
      </c>
      <c r="AI11">
        <f t="shared" ref="AI11" si="13">AH11+AI13+AI10+-AI9</f>
        <v>115</v>
      </c>
      <c r="AJ11">
        <f t="shared" ref="AJ11" si="14">AI11+AJ13+AJ10+-AJ9</f>
        <v>65</v>
      </c>
      <c r="AK11" s="20"/>
      <c r="AL11" s="20"/>
      <c r="AM11" t="s">
        <v>94</v>
      </c>
      <c r="AN11">
        <v>80</v>
      </c>
      <c r="AO11">
        <v>80</v>
      </c>
      <c r="AP11">
        <v>60</v>
      </c>
      <c r="AQ11">
        <v>40</v>
      </c>
      <c r="AR11">
        <v>100</v>
      </c>
      <c r="AS11">
        <v>80</v>
      </c>
      <c r="AT11">
        <v>40</v>
      </c>
      <c r="AU11">
        <v>40</v>
      </c>
      <c r="AV11">
        <v>40</v>
      </c>
      <c r="AW11" s="20"/>
      <c r="AX11" s="20"/>
      <c r="AY11" t="s">
        <v>94</v>
      </c>
      <c r="AZ11">
        <v>70</v>
      </c>
      <c r="BA11">
        <v>70</v>
      </c>
      <c r="BB11">
        <v>30</v>
      </c>
      <c r="BC11">
        <v>50</v>
      </c>
      <c r="BD11">
        <v>70</v>
      </c>
      <c r="BE11">
        <v>30</v>
      </c>
      <c r="BF11">
        <v>70</v>
      </c>
      <c r="BG11">
        <v>30</v>
      </c>
      <c r="BH11">
        <v>30</v>
      </c>
      <c r="BI11" s="20"/>
      <c r="BJ11" s="20"/>
      <c r="BK11" t="s">
        <v>94</v>
      </c>
      <c r="BL11">
        <v>55</v>
      </c>
      <c r="BM11">
        <v>55</v>
      </c>
      <c r="BN11">
        <v>35</v>
      </c>
      <c r="BO11">
        <v>75</v>
      </c>
      <c r="BP11">
        <v>35</v>
      </c>
      <c r="BQ11">
        <v>75</v>
      </c>
      <c r="BR11">
        <v>35</v>
      </c>
      <c r="BS11">
        <v>75</v>
      </c>
      <c r="BT11">
        <v>75</v>
      </c>
    </row>
    <row r="12" spans="1:72">
      <c r="A12" s="20"/>
      <c r="B12" s="20"/>
      <c r="C12" s="17" t="s">
        <v>95</v>
      </c>
      <c r="E12">
        <f>IF(E9+$D$4-E10-D11&lt;0, 0,E9+$D$4-E10-D11)</f>
        <v>10</v>
      </c>
      <c r="F12">
        <f t="shared" ref="F12:L12" si="15">IF(F9+$D$4-F10-E11&lt;0, 0,F9+$D$4-F10-E11)</f>
        <v>0</v>
      </c>
      <c r="G12">
        <f t="shared" si="15"/>
        <v>30</v>
      </c>
      <c r="H12">
        <f t="shared" si="15"/>
        <v>70</v>
      </c>
      <c r="I12">
        <f t="shared" si="15"/>
        <v>30</v>
      </c>
      <c r="J12">
        <f t="shared" si="15"/>
        <v>60</v>
      </c>
      <c r="K12">
        <f t="shared" si="15"/>
        <v>130</v>
      </c>
      <c r="L12">
        <f t="shared" si="15"/>
        <v>0</v>
      </c>
      <c r="M12" s="20"/>
      <c r="N12" s="20"/>
      <c r="O12" s="17" t="s">
        <v>95</v>
      </c>
      <c r="Q12">
        <f>IF(Q9+$P$4-Q10-P11&lt;0, 0,Q9+$P$4-Q10-P11)</f>
        <v>15</v>
      </c>
      <c r="R12">
        <f t="shared" ref="R12:X12" si="16">IF(R9+$P$4-R10-Q11&lt;0, 0,R9+$P$4-R10-Q11)</f>
        <v>0</v>
      </c>
      <c r="S12">
        <f t="shared" si="16"/>
        <v>15</v>
      </c>
      <c r="T12">
        <f t="shared" si="16"/>
        <v>35</v>
      </c>
      <c r="U12">
        <f t="shared" si="16"/>
        <v>65</v>
      </c>
      <c r="V12">
        <f t="shared" si="16"/>
        <v>85</v>
      </c>
      <c r="W12">
        <f t="shared" si="16"/>
        <v>135</v>
      </c>
      <c r="X12">
        <f t="shared" si="16"/>
        <v>75</v>
      </c>
      <c r="Y12" s="20"/>
      <c r="Z12" s="20"/>
      <c r="AA12" s="17" t="s">
        <v>95</v>
      </c>
      <c r="AC12">
        <f>IF(AC9+$AB$4-AC10-AB11&lt;0, 0,AC9+$AB$4-AC10-AB11)</f>
        <v>0</v>
      </c>
      <c r="AD12">
        <f t="shared" ref="AD12:AJ12" si="17">IF(AD9+$P$4-AD10-AC11&lt;0, 0,AD9+$P$4-AD10-AC11)</f>
        <v>0</v>
      </c>
      <c r="AE12">
        <f t="shared" si="17"/>
        <v>45</v>
      </c>
      <c r="AF12">
        <f t="shared" si="17"/>
        <v>65</v>
      </c>
      <c r="AG12">
        <f t="shared" si="17"/>
        <v>90</v>
      </c>
      <c r="AH12">
        <f t="shared" si="17"/>
        <v>40</v>
      </c>
      <c r="AI12">
        <f t="shared" si="17"/>
        <v>85</v>
      </c>
      <c r="AJ12">
        <f t="shared" si="17"/>
        <v>55</v>
      </c>
      <c r="AK12" s="20"/>
      <c r="AL12" s="20"/>
      <c r="AM12" t="s">
        <v>95</v>
      </c>
      <c r="AO12">
        <v>0</v>
      </c>
      <c r="AP12">
        <v>0</v>
      </c>
      <c r="AQ12">
        <v>70</v>
      </c>
      <c r="AR12">
        <v>90</v>
      </c>
      <c r="AS12">
        <v>0</v>
      </c>
      <c r="AT12">
        <v>150</v>
      </c>
      <c r="AU12">
        <v>0</v>
      </c>
      <c r="AV12">
        <v>0</v>
      </c>
      <c r="AW12" s="20"/>
      <c r="AX12" s="20"/>
      <c r="AY12" t="s">
        <v>95</v>
      </c>
      <c r="BA12">
        <v>0</v>
      </c>
      <c r="BB12">
        <v>55</v>
      </c>
      <c r="BC12">
        <v>35</v>
      </c>
      <c r="BD12">
        <v>75</v>
      </c>
      <c r="BE12">
        <v>55</v>
      </c>
      <c r="BF12">
        <v>195</v>
      </c>
      <c r="BG12">
        <v>55</v>
      </c>
      <c r="BH12">
        <v>0</v>
      </c>
      <c r="BI12" s="20"/>
      <c r="BJ12" s="20"/>
      <c r="BK12" t="s">
        <v>95</v>
      </c>
      <c r="BM12">
        <v>0</v>
      </c>
      <c r="BN12">
        <v>45</v>
      </c>
      <c r="BO12">
        <v>5</v>
      </c>
      <c r="BP12">
        <v>105</v>
      </c>
      <c r="BQ12">
        <v>65</v>
      </c>
      <c r="BR12">
        <v>105</v>
      </c>
      <c r="BS12">
        <v>65</v>
      </c>
      <c r="BT12">
        <v>0</v>
      </c>
    </row>
    <row r="13" spans="1:72">
      <c r="A13" s="20"/>
      <c r="B13" s="20"/>
      <c r="C13" t="s">
        <v>92</v>
      </c>
      <c r="E13">
        <f>D14</f>
        <v>100</v>
      </c>
      <c r="F13">
        <f t="shared" ref="F13:L13" si="18">E14</f>
        <v>0</v>
      </c>
      <c r="G13">
        <f t="shared" si="18"/>
        <v>100</v>
      </c>
      <c r="H13">
        <f t="shared" si="18"/>
        <v>100</v>
      </c>
      <c r="I13">
        <f t="shared" si="18"/>
        <v>100</v>
      </c>
      <c r="J13">
        <f t="shared" si="18"/>
        <v>100</v>
      </c>
      <c r="K13">
        <f t="shared" si="18"/>
        <v>200</v>
      </c>
      <c r="L13">
        <f t="shared" si="18"/>
        <v>0</v>
      </c>
      <c r="M13" s="20"/>
      <c r="N13" s="20"/>
      <c r="O13" t="s">
        <v>92</v>
      </c>
      <c r="Q13">
        <f>P14</f>
        <v>100</v>
      </c>
      <c r="R13">
        <f t="shared" ref="R13:X13" si="19">Q14</f>
        <v>0</v>
      </c>
      <c r="S13">
        <f t="shared" si="19"/>
        <v>100</v>
      </c>
      <c r="T13">
        <f t="shared" si="19"/>
        <v>100</v>
      </c>
      <c r="U13">
        <f t="shared" si="19"/>
        <v>100</v>
      </c>
      <c r="V13">
        <f t="shared" si="19"/>
        <v>100</v>
      </c>
      <c r="W13">
        <f t="shared" si="19"/>
        <v>200</v>
      </c>
      <c r="X13">
        <f t="shared" si="19"/>
        <v>100</v>
      </c>
      <c r="Y13" s="20"/>
      <c r="Z13" s="20"/>
      <c r="AA13" t="s">
        <v>92</v>
      </c>
      <c r="AC13">
        <f>AB14</f>
        <v>0</v>
      </c>
      <c r="AD13">
        <f t="shared" ref="AD13:AJ13" si="20">AC14</f>
        <v>0</v>
      </c>
      <c r="AE13">
        <f t="shared" si="20"/>
        <v>80</v>
      </c>
      <c r="AF13">
        <f t="shared" si="20"/>
        <v>80</v>
      </c>
      <c r="AG13">
        <f t="shared" si="20"/>
        <v>160</v>
      </c>
      <c r="AH13">
        <f t="shared" si="20"/>
        <v>80</v>
      </c>
      <c r="AI13">
        <f t="shared" si="20"/>
        <v>160</v>
      </c>
      <c r="AJ13">
        <f t="shared" si="20"/>
        <v>80</v>
      </c>
      <c r="AK13" s="20"/>
      <c r="AL13" s="20"/>
      <c r="AM13" t="s">
        <v>92</v>
      </c>
      <c r="AO13">
        <v>0</v>
      </c>
      <c r="AP13">
        <v>0</v>
      </c>
      <c r="AQ13">
        <v>80</v>
      </c>
      <c r="AR13">
        <v>160</v>
      </c>
      <c r="AS13">
        <v>0</v>
      </c>
      <c r="AT13">
        <v>160</v>
      </c>
      <c r="AU13">
        <v>0</v>
      </c>
      <c r="AV13">
        <v>0</v>
      </c>
      <c r="AW13" s="20"/>
      <c r="AX13" s="20"/>
      <c r="AY13" t="s">
        <v>92</v>
      </c>
      <c r="BA13">
        <v>0</v>
      </c>
      <c r="BB13">
        <v>60</v>
      </c>
      <c r="BC13">
        <v>60</v>
      </c>
      <c r="BD13">
        <v>120</v>
      </c>
      <c r="BE13">
        <v>60</v>
      </c>
      <c r="BF13">
        <v>240</v>
      </c>
      <c r="BG13">
        <v>60</v>
      </c>
      <c r="BH13">
        <v>0</v>
      </c>
      <c r="BI13" s="20"/>
      <c r="BJ13" s="20"/>
      <c r="BK13" t="s">
        <v>92</v>
      </c>
      <c r="BM13">
        <v>0</v>
      </c>
      <c r="BN13">
        <v>60</v>
      </c>
      <c r="BO13">
        <v>60</v>
      </c>
      <c r="BP13">
        <v>120</v>
      </c>
      <c r="BQ13">
        <v>120</v>
      </c>
      <c r="BR13">
        <v>120</v>
      </c>
      <c r="BS13">
        <v>120</v>
      </c>
      <c r="BT13">
        <v>0</v>
      </c>
    </row>
    <row r="14" spans="1:72">
      <c r="A14" s="20"/>
      <c r="B14" s="20"/>
      <c r="C14" t="s">
        <v>93</v>
      </c>
      <c r="D14">
        <v>100</v>
      </c>
      <c r="F14">
        <v>100</v>
      </c>
      <c r="G14">
        <v>100</v>
      </c>
      <c r="H14">
        <v>100</v>
      </c>
      <c r="I14">
        <v>100</v>
      </c>
      <c r="J14">
        <v>200</v>
      </c>
      <c r="M14" s="20"/>
      <c r="N14" s="20"/>
      <c r="O14" t="s">
        <v>93</v>
      </c>
      <c r="P14">
        <v>100</v>
      </c>
      <c r="R14">
        <v>100</v>
      </c>
      <c r="S14">
        <v>100</v>
      </c>
      <c r="T14">
        <v>100</v>
      </c>
      <c r="U14">
        <v>100</v>
      </c>
      <c r="V14">
        <v>200</v>
      </c>
      <c r="W14">
        <v>100</v>
      </c>
      <c r="Y14" s="20"/>
      <c r="Z14" s="20"/>
      <c r="AA14" t="s">
        <v>93</v>
      </c>
      <c r="AD14">
        <v>80</v>
      </c>
      <c r="AE14">
        <v>80</v>
      </c>
      <c r="AF14">
        <v>160</v>
      </c>
      <c r="AG14">
        <v>80</v>
      </c>
      <c r="AH14">
        <v>160</v>
      </c>
      <c r="AI14">
        <v>80</v>
      </c>
      <c r="AK14" s="20"/>
      <c r="AL14" s="20"/>
      <c r="AM14" t="s">
        <v>93</v>
      </c>
      <c r="AP14">
        <v>80</v>
      </c>
      <c r="AQ14">
        <v>160</v>
      </c>
      <c r="AS14">
        <v>160</v>
      </c>
      <c r="AW14" s="20"/>
      <c r="AX14" s="20"/>
      <c r="AY14" t="s">
        <v>93</v>
      </c>
      <c r="BA14">
        <v>60</v>
      </c>
      <c r="BB14">
        <v>60</v>
      </c>
      <c r="BC14">
        <v>120</v>
      </c>
      <c r="BD14">
        <v>60</v>
      </c>
      <c r="BE14">
        <v>240</v>
      </c>
      <c r="BF14">
        <v>60</v>
      </c>
      <c r="BI14" s="20"/>
      <c r="BJ14" s="20"/>
      <c r="BK14" t="s">
        <v>93</v>
      </c>
      <c r="BM14">
        <v>60</v>
      </c>
      <c r="BN14">
        <v>60</v>
      </c>
      <c r="BO14">
        <v>120</v>
      </c>
      <c r="BP14">
        <v>120</v>
      </c>
      <c r="BQ14">
        <v>120</v>
      </c>
      <c r="BR14">
        <v>120</v>
      </c>
    </row>
    <row r="15" spans="1:72">
      <c r="A15" s="20"/>
      <c r="B15" s="20"/>
      <c r="M15" s="20"/>
      <c r="N15" s="20"/>
      <c r="Y15" s="20"/>
      <c r="Z15" s="20"/>
      <c r="AK15" s="20"/>
      <c r="AL15" s="20"/>
      <c r="AW15" s="20"/>
      <c r="AX15" s="20"/>
      <c r="BI15" s="20"/>
      <c r="BJ15" s="20"/>
    </row>
    <row r="16" spans="1:72">
      <c r="A16" s="20"/>
      <c r="B16" s="20"/>
      <c r="M16" s="20"/>
      <c r="N16" s="20"/>
      <c r="Y16" s="20"/>
      <c r="Z16" s="20"/>
      <c r="AK16" s="20"/>
      <c r="AL16" s="20"/>
      <c r="AW16" s="20"/>
      <c r="AX16" s="20"/>
      <c r="BI16" s="20"/>
      <c r="BJ16" s="20"/>
    </row>
    <row r="17" spans="1:72">
      <c r="A17" s="20"/>
      <c r="B17" s="20"/>
      <c r="C17" s="17" t="s">
        <v>0</v>
      </c>
      <c r="D17" s="17" t="s">
        <v>23</v>
      </c>
      <c r="E17">
        <f>(_xlfn.XMATCH(D17,Item[Item Code],0,))+1</f>
        <v>8</v>
      </c>
      <c r="M17" s="20"/>
      <c r="N17" s="20"/>
      <c r="O17" s="17" t="s">
        <v>0</v>
      </c>
      <c r="P17" s="17" t="s">
        <v>70</v>
      </c>
      <c r="Q17">
        <f>(_xlfn.XMATCH(P17,Item[Item Code],0,))+1</f>
        <v>6</v>
      </c>
      <c r="Y17" s="20"/>
      <c r="Z17" s="20"/>
      <c r="AA17" s="17" t="s">
        <v>0</v>
      </c>
      <c r="AB17" s="17" t="s">
        <v>83</v>
      </c>
      <c r="AC17">
        <f>(_xlfn.XMATCH(AB17,Item[Item Code],0,))+1</f>
        <v>7</v>
      </c>
      <c r="AK17" s="20"/>
      <c r="AL17" s="20"/>
      <c r="AM17" s="17" t="s">
        <v>0</v>
      </c>
      <c r="AN17" s="17" t="s">
        <v>37</v>
      </c>
      <c r="AO17">
        <f>(_xlfn.XMATCH(AN17,Item[Item Code],0,))+1</f>
        <v>10</v>
      </c>
      <c r="AW17" s="20"/>
      <c r="AX17" s="20"/>
      <c r="AY17" s="17" t="s">
        <v>0</v>
      </c>
      <c r="AZ17" s="17" t="s">
        <v>63</v>
      </c>
      <c r="BA17">
        <f>(_xlfn.XMATCH(AZ17,Item[Item Code],0,))+1</f>
        <v>15</v>
      </c>
      <c r="BI17" s="20"/>
      <c r="BJ17" s="20"/>
      <c r="BK17" s="17" t="s">
        <v>0</v>
      </c>
      <c r="BL17" s="17" t="s">
        <v>77</v>
      </c>
      <c r="BM17">
        <f>(_xlfn.XMATCH(BL17,Item[Item Code],0,))+1</f>
        <v>20</v>
      </c>
    </row>
    <row r="18" spans="1:72">
      <c r="A18" s="20"/>
      <c r="B18" s="20"/>
      <c r="C18" s="17" t="s">
        <v>5</v>
      </c>
      <c r="D18">
        <f>HLOOKUP(C18,Item[[#All],[Item Code]:[Lead Time]],E$17,)</f>
        <v>300</v>
      </c>
      <c r="M18" s="20"/>
      <c r="N18" s="20"/>
      <c r="O18" s="17" t="s">
        <v>5</v>
      </c>
      <c r="P18">
        <f>HLOOKUP(O18,Item[[#All],[Item Code]:[Lead Time]],Q$17,)</f>
        <v>110</v>
      </c>
      <c r="Y18" s="20"/>
      <c r="Z18" s="20"/>
      <c r="AA18" s="17" t="s">
        <v>5</v>
      </c>
      <c r="AB18">
        <f>HLOOKUP(AA18,Item[[#All],[Item Code]:[Lead Time]],AC$17,)</f>
        <v>85</v>
      </c>
      <c r="AK18" s="20"/>
      <c r="AL18" s="20"/>
      <c r="AM18" s="17" t="s">
        <v>5</v>
      </c>
      <c r="AN18">
        <f>HLOOKUP(AM18,Item[[#All],[Item Code]:[Lead Time]],AO$17,)</f>
        <v>650</v>
      </c>
      <c r="AW18" s="20"/>
      <c r="AX18" s="20"/>
      <c r="AY18" s="17" t="s">
        <v>5</v>
      </c>
      <c r="AZ18">
        <f>HLOOKUP(AY18,Item[[#All],[Item Code]:[Lead Time]],BA$17,)</f>
        <v>145</v>
      </c>
      <c r="BI18" s="20"/>
      <c r="BJ18" s="20"/>
      <c r="BK18" s="17" t="s">
        <v>5</v>
      </c>
      <c r="BL18">
        <f>HLOOKUP(BK18,Item[[#All],[Item Code]:[Lead Time]],BM$17,)</f>
        <v>210</v>
      </c>
    </row>
    <row r="19" spans="1:72">
      <c r="A19" s="20"/>
      <c r="B19" s="20"/>
      <c r="C19" s="17" t="s">
        <v>6</v>
      </c>
      <c r="D19">
        <f>HLOOKUP(C19,Item[[#All],[Item Code]:[Lead Time]],E$17,)</f>
        <v>100</v>
      </c>
      <c r="M19" s="20"/>
      <c r="N19" s="20"/>
      <c r="O19" s="17" t="s">
        <v>6</v>
      </c>
      <c r="P19">
        <f>HLOOKUP(O19,Item[[#All],[Item Code]:[Lead Time]],Q$17,)</f>
        <v>40</v>
      </c>
      <c r="Y19" s="20"/>
      <c r="Z19" s="20"/>
      <c r="AA19" s="17" t="s">
        <v>6</v>
      </c>
      <c r="AB19">
        <f>HLOOKUP(AA19,Item[[#All],[Item Code]:[Lead Time]],AC$17,)</f>
        <v>30</v>
      </c>
      <c r="AK19" s="20"/>
      <c r="AL19" s="20"/>
      <c r="AM19" s="17" t="s">
        <v>6</v>
      </c>
      <c r="AN19">
        <f>HLOOKUP(AM19,Item[[#All],[Item Code]:[Lead Time]],AO$17,)</f>
        <v>200</v>
      </c>
      <c r="AW19" s="20"/>
      <c r="AX19" s="20"/>
      <c r="AY19" s="17" t="s">
        <v>6</v>
      </c>
      <c r="AZ19">
        <f>HLOOKUP(AY19,Item[[#All],[Item Code]:[Lead Time]],BA$17,)</f>
        <v>50</v>
      </c>
      <c r="BI19" s="20"/>
      <c r="BJ19" s="20"/>
      <c r="BK19" s="17" t="s">
        <v>6</v>
      </c>
      <c r="BL19">
        <f>HLOOKUP(BK19,Item[[#All],[Item Code]:[Lead Time]],BM$17,)</f>
        <v>80</v>
      </c>
    </row>
    <row r="20" spans="1:72">
      <c r="A20" s="20"/>
      <c r="B20" s="20"/>
      <c r="C20" s="17" t="s">
        <v>8</v>
      </c>
      <c r="D20">
        <f>HLOOKUP(C20,Item[[#All],[Item Code]:[Lead Time]],E$17,)</f>
        <v>0</v>
      </c>
      <c r="M20" s="20"/>
      <c r="N20" s="20"/>
      <c r="O20" s="17" t="s">
        <v>8</v>
      </c>
      <c r="P20">
        <f>HLOOKUP(O20,Item[[#All],[Item Code]:[Lead Time]],Q$17,)</f>
        <v>200</v>
      </c>
      <c r="Y20" s="20"/>
      <c r="Z20" s="20"/>
      <c r="AA20" s="17" t="s">
        <v>8</v>
      </c>
      <c r="AB20">
        <f>HLOOKUP(AA20,Item[[#All],[Item Code]:[Lead Time]],AC$17,)</f>
        <v>150</v>
      </c>
      <c r="AK20" s="20"/>
      <c r="AL20" s="20"/>
      <c r="AM20" s="17" t="s">
        <v>8</v>
      </c>
      <c r="AN20">
        <f>HLOOKUP(AM20,Item[[#All],[Item Code]:[Lead Time]],AO$17,)</f>
        <v>500</v>
      </c>
      <c r="AW20" s="20"/>
      <c r="AX20" s="20"/>
      <c r="AY20" s="17" t="s">
        <v>8</v>
      </c>
      <c r="AZ20">
        <f>HLOOKUP(AY20,Item[[#All],[Item Code]:[Lead Time]],BA$17,)</f>
        <v>150</v>
      </c>
      <c r="BI20" s="20"/>
      <c r="BJ20" s="20"/>
      <c r="BK20" s="17" t="s">
        <v>8</v>
      </c>
      <c r="BL20">
        <f>HLOOKUP(BK20,Item[[#All],[Item Code]:[Lead Time]],BM$17,)</f>
        <v>200</v>
      </c>
    </row>
    <row r="21" spans="1:72">
      <c r="A21" s="20"/>
      <c r="B21" s="20"/>
      <c r="C21" s="17" t="s">
        <v>9</v>
      </c>
      <c r="D21">
        <f>HLOOKUP(C21,Item[[#All],[Item Code]:[Lead Time]],E$17,)</f>
        <v>1</v>
      </c>
      <c r="M21" s="20"/>
      <c r="N21" s="20"/>
      <c r="O21" s="17" t="s">
        <v>9</v>
      </c>
      <c r="P21">
        <f>HLOOKUP(O21,Item[[#All],[Item Code]:[Lead Time]],Q$17,)</f>
        <v>1</v>
      </c>
      <c r="Y21" s="20"/>
      <c r="Z21" s="20"/>
      <c r="AA21" s="17" t="s">
        <v>9</v>
      </c>
      <c r="AB21">
        <f>HLOOKUP(AA21,Item[[#All],[Item Code]:[Lead Time]],AC$17,)</f>
        <v>1</v>
      </c>
      <c r="AK21" s="20"/>
      <c r="AL21" s="20"/>
      <c r="AM21" s="17" t="s">
        <v>9</v>
      </c>
      <c r="AN21">
        <f>HLOOKUP(AM21,Item[[#All],[Item Code]:[Lead Time]],AO$17,)</f>
        <v>2</v>
      </c>
      <c r="AW21" s="20"/>
      <c r="AX21" s="20"/>
      <c r="AY21" s="17" t="s">
        <v>9</v>
      </c>
      <c r="AZ21">
        <f>HLOOKUP(AY21,Item[[#All],[Item Code]:[Lead Time]],BA$17,)</f>
        <v>2</v>
      </c>
      <c r="BI21" s="20"/>
      <c r="BJ21" s="20"/>
      <c r="BK21" s="17" t="s">
        <v>9</v>
      </c>
      <c r="BL21">
        <f>HLOOKUP(BK21,Item[[#All],[Item Code]:[Lead Time]],BM$17,)</f>
        <v>2</v>
      </c>
    </row>
    <row r="22" spans="1:72">
      <c r="A22" s="20"/>
      <c r="B22" s="20"/>
      <c r="C22" t="s">
        <v>90</v>
      </c>
      <c r="D22">
        <f>_xlfn.XLOOKUP(D17,BOM[Component Item],BOM[Quantity Per Assembly])</f>
        <v>2</v>
      </c>
      <c r="M22" s="20"/>
      <c r="N22" s="20"/>
      <c r="O22" t="s">
        <v>90</v>
      </c>
      <c r="P22">
        <f>_xlfn.XLOOKUP(P17,BOM[Component Item],BOM[Quantity Per Assembly])</f>
        <v>1</v>
      </c>
      <c r="Y22" s="20"/>
      <c r="Z22" s="20"/>
      <c r="AA22" t="s">
        <v>90</v>
      </c>
      <c r="AB22">
        <f>_xlfn.XLOOKUP(AB17,BOM[Component Item],BOM[Quantity Per Assembly])</f>
        <v>1</v>
      </c>
      <c r="AK22" s="20"/>
      <c r="AL22" s="20"/>
      <c r="AM22" t="s">
        <v>90</v>
      </c>
      <c r="AN22">
        <f>_xlfn.XLOOKUP(AN17,BOM[Component Item],BOM[Quantity Per Assembly])</f>
        <v>3</v>
      </c>
      <c r="AW22" s="20"/>
      <c r="AX22" s="20"/>
      <c r="AY22" t="s">
        <v>90</v>
      </c>
      <c r="AZ22">
        <f>_xlfn.XLOOKUP(AZ17,BOM[Component Item],BOM[Quantity Per Assembly])</f>
        <v>2</v>
      </c>
      <c r="BI22" s="20"/>
      <c r="BJ22" s="20"/>
      <c r="BK22" t="s">
        <v>90</v>
      </c>
      <c r="BL22">
        <f>_xlfn.XLOOKUP(BL17,BOM[Component Item],BOM[Quantity Per Assembly])</f>
        <v>2</v>
      </c>
    </row>
    <row r="23" spans="1:72">
      <c r="A23" s="20"/>
      <c r="B23" s="20"/>
      <c r="C23" t="s">
        <v>91</v>
      </c>
      <c r="D23" cm="1">
        <f t="array" ref="D23:L23">_xlfn.SEQUENCE(,9,0)</f>
        <v>0</v>
      </c>
      <c r="E23">
        <v>1</v>
      </c>
      <c r="F23">
        <v>2</v>
      </c>
      <c r="G23">
        <v>3</v>
      </c>
      <c r="H23">
        <v>4</v>
      </c>
      <c r="I23">
        <v>5</v>
      </c>
      <c r="J23">
        <v>6</v>
      </c>
      <c r="K23">
        <v>7</v>
      </c>
      <c r="L23">
        <v>8</v>
      </c>
      <c r="M23" s="20"/>
      <c r="N23" s="20"/>
      <c r="O23" t="s">
        <v>91</v>
      </c>
      <c r="P23" cm="1">
        <f t="array" ref="P23:X23">_xlfn.SEQUENCE(,9,0)</f>
        <v>0</v>
      </c>
      <c r="Q23">
        <v>1</v>
      </c>
      <c r="R23">
        <v>2</v>
      </c>
      <c r="S23">
        <v>3</v>
      </c>
      <c r="T23">
        <v>4</v>
      </c>
      <c r="U23">
        <v>5</v>
      </c>
      <c r="V23">
        <v>6</v>
      </c>
      <c r="W23">
        <v>7</v>
      </c>
      <c r="X23">
        <v>8</v>
      </c>
      <c r="Y23" s="20"/>
      <c r="Z23" s="20"/>
      <c r="AA23" t="s">
        <v>91</v>
      </c>
      <c r="AB23" cm="1">
        <f t="array" ref="AB23:AJ23">_xlfn.SEQUENCE(,9,0)</f>
        <v>0</v>
      </c>
      <c r="AC23">
        <v>1</v>
      </c>
      <c r="AD23">
        <v>2</v>
      </c>
      <c r="AE23">
        <v>3</v>
      </c>
      <c r="AF23">
        <v>4</v>
      </c>
      <c r="AG23">
        <v>5</v>
      </c>
      <c r="AH23">
        <v>6</v>
      </c>
      <c r="AI23">
        <v>7</v>
      </c>
      <c r="AJ23">
        <v>8</v>
      </c>
      <c r="AK23" s="20"/>
      <c r="AL23" s="20"/>
      <c r="AM23" t="s">
        <v>91</v>
      </c>
      <c r="AN23" cm="1">
        <f t="array" ref="AN23:AV23">_xlfn.SEQUENCE(,9,0)</f>
        <v>0</v>
      </c>
      <c r="AO23">
        <v>1</v>
      </c>
      <c r="AP23">
        <v>2</v>
      </c>
      <c r="AQ23">
        <v>3</v>
      </c>
      <c r="AR23">
        <v>4</v>
      </c>
      <c r="AS23">
        <v>5</v>
      </c>
      <c r="AT23">
        <v>6</v>
      </c>
      <c r="AU23">
        <v>7</v>
      </c>
      <c r="AV23">
        <v>8</v>
      </c>
      <c r="AW23" s="20"/>
      <c r="AX23" s="20"/>
      <c r="AY23" t="s">
        <v>91</v>
      </c>
      <c r="AZ23" cm="1">
        <f t="array" ref="AZ23:BH23">_xlfn.SEQUENCE(,9,0)</f>
        <v>0</v>
      </c>
      <c r="BA23">
        <v>1</v>
      </c>
      <c r="BB23">
        <v>2</v>
      </c>
      <c r="BC23">
        <v>3</v>
      </c>
      <c r="BD23">
        <v>4</v>
      </c>
      <c r="BE23">
        <v>5</v>
      </c>
      <c r="BF23">
        <v>6</v>
      </c>
      <c r="BG23">
        <v>7</v>
      </c>
      <c r="BH23">
        <v>8</v>
      </c>
      <c r="BI23" s="20"/>
      <c r="BJ23" s="20"/>
      <c r="BK23" t="s">
        <v>91</v>
      </c>
      <c r="BL23" cm="1">
        <f t="array" ref="BL23:BT23">_xlfn.SEQUENCE(,9,0)</f>
        <v>0</v>
      </c>
      <c r="BM23">
        <v>1</v>
      </c>
      <c r="BN23">
        <v>2</v>
      </c>
      <c r="BO23">
        <v>3</v>
      </c>
      <c r="BP23">
        <v>4</v>
      </c>
      <c r="BQ23">
        <v>5</v>
      </c>
      <c r="BR23">
        <v>6</v>
      </c>
      <c r="BS23">
        <v>7</v>
      </c>
      <c r="BT23">
        <v>8</v>
      </c>
    </row>
    <row r="24" spans="1:72">
      <c r="A24" s="20"/>
      <c r="B24" s="20"/>
      <c r="C24" t="s">
        <v>89</v>
      </c>
      <c r="E24" cm="1">
        <f t="array" ref="E24:L24">$E$14:$L$14</f>
        <v>0</v>
      </c>
      <c r="F24">
        <v>100</v>
      </c>
      <c r="G24">
        <v>100</v>
      </c>
      <c r="H24">
        <v>100</v>
      </c>
      <c r="I24">
        <v>100</v>
      </c>
      <c r="J24">
        <v>200</v>
      </c>
      <c r="K24">
        <v>0</v>
      </c>
      <c r="L24">
        <v>0</v>
      </c>
      <c r="M24" s="20"/>
      <c r="N24" s="20"/>
      <c r="O24" t="s">
        <v>89</v>
      </c>
      <c r="Q24" cm="1">
        <f t="array" ref="Q24:X24">($Q$14:$X$14)*P22</f>
        <v>0</v>
      </c>
      <c r="R24">
        <v>100</v>
      </c>
      <c r="S24">
        <v>100</v>
      </c>
      <c r="T24">
        <v>100</v>
      </c>
      <c r="U24">
        <v>100</v>
      </c>
      <c r="V24">
        <v>200</v>
      </c>
      <c r="W24">
        <v>100</v>
      </c>
      <c r="X24">
        <v>0</v>
      </c>
      <c r="Y24" s="20"/>
      <c r="Z24" s="20"/>
      <c r="AA24" t="s">
        <v>89</v>
      </c>
      <c r="AC24" cm="1">
        <f t="array" ref="AC24:AJ24">$AC$14:$AJ$14*AB22</f>
        <v>0</v>
      </c>
      <c r="AD24">
        <v>80</v>
      </c>
      <c r="AE24">
        <v>80</v>
      </c>
      <c r="AF24">
        <v>160</v>
      </c>
      <c r="AG24">
        <v>80</v>
      </c>
      <c r="AH24">
        <v>160</v>
      </c>
      <c r="AI24">
        <v>80</v>
      </c>
      <c r="AJ24">
        <v>0</v>
      </c>
      <c r="AK24" s="20"/>
      <c r="AL24" s="20"/>
      <c r="AM24" t="s">
        <v>89</v>
      </c>
      <c r="AO24" cm="1">
        <f t="array" ref="AO24:AV24">$AO$14:$AV$14*AN22</f>
        <v>0</v>
      </c>
      <c r="AP24">
        <v>240</v>
      </c>
      <c r="AQ24">
        <v>480</v>
      </c>
      <c r="AR24">
        <v>0</v>
      </c>
      <c r="AS24">
        <v>480</v>
      </c>
      <c r="AT24">
        <v>0</v>
      </c>
      <c r="AU24">
        <v>0</v>
      </c>
      <c r="AV24">
        <v>0</v>
      </c>
      <c r="AW24" s="20"/>
      <c r="AX24" s="20"/>
      <c r="AY24" t="s">
        <v>89</v>
      </c>
      <c r="BA24" cm="1">
        <f t="array" ref="BA24:BH24">$BA$14:$BH$14*AZ22</f>
        <v>120</v>
      </c>
      <c r="BB24">
        <v>120</v>
      </c>
      <c r="BC24">
        <v>240</v>
      </c>
      <c r="BD24">
        <v>120</v>
      </c>
      <c r="BE24">
        <v>480</v>
      </c>
      <c r="BF24">
        <v>120</v>
      </c>
      <c r="BG24">
        <v>0</v>
      </c>
      <c r="BH24">
        <v>0</v>
      </c>
      <c r="BI24" s="20"/>
      <c r="BJ24" s="20"/>
      <c r="BK24" t="s">
        <v>89</v>
      </c>
      <c r="BM24" cm="1">
        <f t="array" ref="BM24:BR24">$BM$14:$BR$14*BL22</f>
        <v>120</v>
      </c>
      <c r="BN24">
        <v>120</v>
      </c>
      <c r="BO24">
        <v>240</v>
      </c>
      <c r="BP24">
        <v>240</v>
      </c>
      <c r="BQ24">
        <v>240</v>
      </c>
      <c r="BR24">
        <v>240</v>
      </c>
    </row>
    <row r="25" spans="1:72">
      <c r="A25" s="20"/>
      <c r="B25" s="20"/>
      <c r="C25" t="s">
        <v>28</v>
      </c>
      <c r="F25">
        <v>200</v>
      </c>
      <c r="M25" s="20"/>
      <c r="N25" s="20"/>
      <c r="O25" t="s">
        <v>28</v>
      </c>
      <c r="Y25" s="20"/>
      <c r="Z25" s="20"/>
      <c r="AA25" t="s">
        <v>28</v>
      </c>
      <c r="AH25">
        <v>150</v>
      </c>
      <c r="AK25" s="20"/>
      <c r="AL25" s="20"/>
      <c r="AM25" t="s">
        <v>28</v>
      </c>
      <c r="AP25">
        <v>500</v>
      </c>
      <c r="AW25" s="20"/>
      <c r="AX25" s="20"/>
      <c r="AY25" t="s">
        <v>28</v>
      </c>
      <c r="BE25">
        <v>150</v>
      </c>
      <c r="BI25" s="20"/>
      <c r="BJ25" s="20"/>
      <c r="BK25" t="s">
        <v>28</v>
      </c>
      <c r="BQ25">
        <v>200</v>
      </c>
    </row>
    <row r="26" spans="1:72">
      <c r="A26" s="20"/>
      <c r="B26" s="20"/>
      <c r="C26" s="17" t="s">
        <v>94</v>
      </c>
      <c r="D26">
        <f>D18</f>
        <v>300</v>
      </c>
      <c r="E26">
        <f>D26+E28+E25+-E24</f>
        <v>300</v>
      </c>
      <c r="F26">
        <f t="shared" ref="F26" si="21">E26+F28+F25+-F24</f>
        <v>400</v>
      </c>
      <c r="G26">
        <f t="shared" ref="G26" si="22">F26+G28+G25+-G24</f>
        <v>300</v>
      </c>
      <c r="H26">
        <f>G26+H28+H25+-H24</f>
        <v>200</v>
      </c>
      <c r="I26">
        <f t="shared" ref="I26" si="23">H26+I28+I25+-I24</f>
        <v>100</v>
      </c>
      <c r="J26">
        <f t="shared" ref="J26" si="24">I26+J28+J25+-J24</f>
        <v>100</v>
      </c>
      <c r="K26">
        <f t="shared" ref="K26" si="25">J26+K28+K25+-K24</f>
        <v>100</v>
      </c>
      <c r="L26">
        <f t="shared" ref="L26" si="26">K26+L28+L25+-L24</f>
        <v>100</v>
      </c>
      <c r="M26" s="20"/>
      <c r="N26" s="20"/>
      <c r="O26" s="17" t="s">
        <v>94</v>
      </c>
      <c r="P26">
        <f>P18</f>
        <v>110</v>
      </c>
      <c r="Q26">
        <f>P26+Q28+Q25+-Q24</f>
        <v>110</v>
      </c>
      <c r="R26">
        <f t="shared" ref="R26" si="27">Q26+R28+R25+-R24</f>
        <v>210</v>
      </c>
      <c r="S26">
        <f t="shared" ref="S26" si="28">R26+S28+S25+-S24</f>
        <v>110</v>
      </c>
      <c r="T26">
        <f>S26+T28+T25+-T24</f>
        <v>210</v>
      </c>
      <c r="U26">
        <f t="shared" ref="U26" si="29">T26+U28+U25+-U24</f>
        <v>110</v>
      </c>
      <c r="V26">
        <f t="shared" ref="V26" si="30">U26+V28+V25+-V24</f>
        <v>110</v>
      </c>
      <c r="W26">
        <f t="shared" ref="W26" si="31">V26+W28+W25+-W24</f>
        <v>210</v>
      </c>
      <c r="X26">
        <f t="shared" ref="X26" si="32">W26+X28+X25+-X24</f>
        <v>210</v>
      </c>
      <c r="Y26" s="20"/>
      <c r="Z26" s="20"/>
      <c r="AA26" s="17" t="s">
        <v>94</v>
      </c>
      <c r="AB26">
        <f>AB18</f>
        <v>85</v>
      </c>
      <c r="AC26">
        <f>AB26+AC28+AC25+-AC24</f>
        <v>85</v>
      </c>
      <c r="AD26">
        <f t="shared" ref="AD26" si="33">AC26+AD28+AD25+-AD24</f>
        <v>155</v>
      </c>
      <c r="AE26">
        <f t="shared" ref="AE26" si="34">AD26+AE28+AE25+-AE24</f>
        <v>75</v>
      </c>
      <c r="AF26">
        <f t="shared" ref="AF26" si="35">AE26+AF28+AF25+-AF24</f>
        <v>65</v>
      </c>
      <c r="AG26">
        <f t="shared" ref="AG26" si="36">AF26+AG28+AG25+-AG24</f>
        <v>135</v>
      </c>
      <c r="AH26">
        <f t="shared" ref="AH26" si="37">AG26+AH28+AH25+-AH24</f>
        <v>125</v>
      </c>
      <c r="AI26">
        <f t="shared" ref="AI26" si="38">AH26+AI28+AI25+-AI24</f>
        <v>45</v>
      </c>
      <c r="AJ26">
        <f t="shared" ref="AJ26" si="39">AI26+AJ28+AJ25+-AJ24</f>
        <v>45</v>
      </c>
      <c r="AK26" s="20"/>
      <c r="AL26" s="20"/>
      <c r="AM26" s="17" t="s">
        <v>94</v>
      </c>
      <c r="AN26">
        <f>AN18</f>
        <v>650</v>
      </c>
      <c r="AO26">
        <f>AN26+AO28+AO25+-AO24</f>
        <v>650</v>
      </c>
      <c r="AP26">
        <f t="shared" ref="AP26" si="40">AO26+AP28+AP25+-AP24</f>
        <v>910</v>
      </c>
      <c r="AQ26">
        <f t="shared" ref="AQ26" si="41">AP26+AQ28+AQ25+-AQ24</f>
        <v>430</v>
      </c>
      <c r="AR26">
        <f t="shared" ref="AR26" si="42">AQ26+AR28+AR25+-AR24</f>
        <v>430</v>
      </c>
      <c r="AS26">
        <f t="shared" ref="AS26" si="43">AR26+AS28+AS25+-AS24</f>
        <v>450</v>
      </c>
      <c r="AT26">
        <f t="shared" ref="AT26" si="44">AS26+AT28+AT25+-AT24</f>
        <v>450</v>
      </c>
      <c r="AU26">
        <f t="shared" ref="AU26" si="45">AT26+AU28+AU25+-AU24</f>
        <v>450</v>
      </c>
      <c r="AV26">
        <f t="shared" ref="AV26" si="46">AU26+AV28+AV25+-AV24</f>
        <v>450</v>
      </c>
      <c r="AW26" s="20"/>
      <c r="AX26" s="20"/>
      <c r="AY26" s="17" t="s">
        <v>94</v>
      </c>
      <c r="AZ26">
        <f>AZ18</f>
        <v>145</v>
      </c>
      <c r="BA26">
        <f>AZ26+BA28+BA25+-BA24</f>
        <v>25</v>
      </c>
      <c r="BB26">
        <f t="shared" ref="BB26" si="47">BA26+BB28+BB25+-BB24</f>
        <v>55</v>
      </c>
      <c r="BC26">
        <f t="shared" ref="BC26" si="48">BB26+BC28+BC25+-BC24</f>
        <v>115</v>
      </c>
      <c r="BD26">
        <f t="shared" ref="BD26" si="49">BC26+BD28+BD25+-BD24</f>
        <v>145</v>
      </c>
      <c r="BE26">
        <f t="shared" ref="BE26" si="50">BD26+BE28+BE25+-BE24</f>
        <v>115</v>
      </c>
      <c r="BF26">
        <f t="shared" ref="BF26" si="51">BE26+BF28+BF25+-BF24</f>
        <v>145</v>
      </c>
      <c r="BG26">
        <f t="shared" ref="BG26" si="52">BF26+BG28+BG25+-BG24</f>
        <v>145</v>
      </c>
      <c r="BH26">
        <f t="shared" ref="BH26" si="53">BG26+BH28+BH25+-BH24</f>
        <v>145</v>
      </c>
      <c r="BI26" s="20"/>
      <c r="BJ26" s="20"/>
      <c r="BK26" s="17" t="s">
        <v>94</v>
      </c>
      <c r="BL26">
        <f>BL18</f>
        <v>210</v>
      </c>
      <c r="BM26">
        <f>BL26+BM28+BM25+-BM24</f>
        <v>90</v>
      </c>
      <c r="BN26">
        <f t="shared" ref="BN26" si="54">BM26+BN28+BN25+-BN24</f>
        <v>170</v>
      </c>
      <c r="BO26">
        <f t="shared" ref="BO26" si="55">BN26+BO28+BO25+-BO24</f>
        <v>130</v>
      </c>
      <c r="BP26">
        <f t="shared" ref="BP26" si="56">BO26+BP28+BP25+-BP24</f>
        <v>90</v>
      </c>
      <c r="BQ26">
        <f t="shared" ref="BQ26" si="57">BP26+BQ28+BQ25+-BQ24</f>
        <v>250</v>
      </c>
      <c r="BR26">
        <f t="shared" ref="BR26" si="58">BQ26+BR28+BR25+-BR24</f>
        <v>210</v>
      </c>
      <c r="BS26">
        <f t="shared" ref="BS26" si="59">BR26+BS28+BS25+-BS24</f>
        <v>210</v>
      </c>
      <c r="BT26">
        <f t="shared" ref="BT26" si="60">BS26+BT28+BT25+-BT24</f>
        <v>210</v>
      </c>
    </row>
    <row r="27" spans="1:72">
      <c r="A27" s="20"/>
      <c r="B27" s="20"/>
      <c r="C27" s="17" t="s">
        <v>95</v>
      </c>
      <c r="E27">
        <f>IF(E24+$D$19-E25-D26&lt;0, 0,E24+$D$19-E25-D26)</f>
        <v>0</v>
      </c>
      <c r="F27">
        <f t="shared" ref="F27:L27" si="61">IF(F24+$D$19-F25-E26&lt;0, 0,F24+$D$19-F25-E26)</f>
        <v>0</v>
      </c>
      <c r="G27">
        <f t="shared" si="61"/>
        <v>0</v>
      </c>
      <c r="H27">
        <f t="shared" si="61"/>
        <v>0</v>
      </c>
      <c r="I27">
        <f t="shared" si="61"/>
        <v>0</v>
      </c>
      <c r="J27">
        <f t="shared" si="61"/>
        <v>200</v>
      </c>
      <c r="K27">
        <f t="shared" si="61"/>
        <v>0</v>
      </c>
      <c r="L27">
        <f t="shared" si="61"/>
        <v>0</v>
      </c>
      <c r="M27" s="20"/>
      <c r="N27" s="20"/>
      <c r="O27" s="17" t="s">
        <v>95</v>
      </c>
      <c r="Q27">
        <f>IF(Q24+$P$19-Q25-P26&lt;0, 0,Q24+$P$19-Q25-P26)</f>
        <v>0</v>
      </c>
      <c r="R27">
        <f t="shared" ref="R27:X27" si="62">IF(R24+$P$19-R25-Q26&lt;0, 0,R24+$P$19-R25-Q26)</f>
        <v>30</v>
      </c>
      <c r="S27">
        <f t="shared" si="62"/>
        <v>0</v>
      </c>
      <c r="T27">
        <f t="shared" si="62"/>
        <v>30</v>
      </c>
      <c r="U27">
        <f t="shared" si="62"/>
        <v>0</v>
      </c>
      <c r="V27">
        <f t="shared" si="62"/>
        <v>130</v>
      </c>
      <c r="W27">
        <f t="shared" si="62"/>
        <v>30</v>
      </c>
      <c r="X27">
        <f t="shared" si="62"/>
        <v>0</v>
      </c>
      <c r="Y27" s="20"/>
      <c r="Z27" s="20"/>
      <c r="AA27" s="17" t="s">
        <v>95</v>
      </c>
      <c r="AC27">
        <f>IF(AC24+$AB$19-AC25-AB26&lt;0, 0,AC24+$AB$19-AC25-AB26)</f>
        <v>0</v>
      </c>
      <c r="AD27">
        <f t="shared" ref="AD27:AJ27" si="63">IF(AD24+$AB$19-AD25-AC26&lt;0, 0,AD24+$AB$19-AD25-AC26)</f>
        <v>25</v>
      </c>
      <c r="AE27">
        <f t="shared" si="63"/>
        <v>0</v>
      </c>
      <c r="AF27">
        <f t="shared" si="63"/>
        <v>115</v>
      </c>
      <c r="AG27">
        <f t="shared" si="63"/>
        <v>45</v>
      </c>
      <c r="AH27">
        <f t="shared" si="63"/>
        <v>0</v>
      </c>
      <c r="AI27">
        <f t="shared" si="63"/>
        <v>0</v>
      </c>
      <c r="AJ27">
        <f t="shared" si="63"/>
        <v>0</v>
      </c>
      <c r="AK27" s="20"/>
      <c r="AL27" s="20"/>
      <c r="AM27" s="17" t="s">
        <v>95</v>
      </c>
      <c r="AO27">
        <f>IF(AO24+$AN$19-AO25-AN26&lt;0, 0,AO24+$AN$19-AO25-AN26)</f>
        <v>0</v>
      </c>
      <c r="AP27">
        <f t="shared" ref="AP27:AV27" si="64">IF(AP24+$AN$19-AP25-AO26&lt;0, 0,AP24+$AN$19-AP25-AO26)</f>
        <v>0</v>
      </c>
      <c r="AQ27">
        <f t="shared" si="64"/>
        <v>0</v>
      </c>
      <c r="AR27">
        <f t="shared" si="64"/>
        <v>0</v>
      </c>
      <c r="AS27">
        <f t="shared" si="64"/>
        <v>250</v>
      </c>
      <c r="AT27">
        <f t="shared" si="64"/>
        <v>0</v>
      </c>
      <c r="AU27">
        <f t="shared" si="64"/>
        <v>0</v>
      </c>
      <c r="AV27">
        <f t="shared" si="64"/>
        <v>0</v>
      </c>
      <c r="AW27" s="20"/>
      <c r="AX27" s="20"/>
      <c r="AY27" s="17" t="s">
        <v>95</v>
      </c>
      <c r="BA27">
        <f>IF(BA24+$AZ$19-BA25-AZ26&lt;0, 0,BA24+$AZ$19-BA25-AZ26)</f>
        <v>25</v>
      </c>
      <c r="BB27">
        <f t="shared" ref="BB27:BH27" si="65">IF(BB24+$AZ$19-BB25-BA26&lt;0, 0,BB24+$AZ$19-BB25-BA26)</f>
        <v>145</v>
      </c>
      <c r="BC27">
        <f t="shared" si="65"/>
        <v>235</v>
      </c>
      <c r="BD27">
        <f t="shared" si="65"/>
        <v>55</v>
      </c>
      <c r="BE27">
        <f t="shared" si="65"/>
        <v>235</v>
      </c>
      <c r="BF27">
        <f t="shared" si="65"/>
        <v>55</v>
      </c>
      <c r="BG27">
        <f t="shared" si="65"/>
        <v>0</v>
      </c>
      <c r="BH27">
        <f t="shared" si="65"/>
        <v>0</v>
      </c>
      <c r="BI27" s="20"/>
      <c r="BJ27" s="20"/>
      <c r="BK27" s="17" t="s">
        <v>95</v>
      </c>
      <c r="BM27">
        <f>IF(BM24+$BL$19-BM25-BL26&lt;0, 0,BM24+$BL$19-BM25-BL26)</f>
        <v>0</v>
      </c>
      <c r="BN27">
        <f t="shared" ref="BN27:BT27" si="66">IF(BN24+$BL$19-BN25-BM26&lt;0, 0,BN24+$BL$19-BN25-BM26)</f>
        <v>110</v>
      </c>
      <c r="BO27">
        <f t="shared" si="66"/>
        <v>150</v>
      </c>
      <c r="BP27">
        <f t="shared" si="66"/>
        <v>190</v>
      </c>
      <c r="BQ27">
        <f t="shared" si="66"/>
        <v>30</v>
      </c>
      <c r="BR27">
        <f t="shared" si="66"/>
        <v>70</v>
      </c>
      <c r="BS27">
        <f t="shared" si="66"/>
        <v>0</v>
      </c>
      <c r="BT27">
        <f t="shared" si="66"/>
        <v>0</v>
      </c>
    </row>
    <row r="28" spans="1:72">
      <c r="A28" s="20"/>
      <c r="B28" s="20"/>
      <c r="C28" t="s">
        <v>92</v>
      </c>
      <c r="E28">
        <f>D29</f>
        <v>0</v>
      </c>
      <c r="F28">
        <f t="shared" ref="F28:L28" si="67">E29</f>
        <v>0</v>
      </c>
      <c r="G28">
        <f t="shared" si="67"/>
        <v>0</v>
      </c>
      <c r="H28">
        <f t="shared" si="67"/>
        <v>0</v>
      </c>
      <c r="I28">
        <f t="shared" si="67"/>
        <v>0</v>
      </c>
      <c r="J28">
        <f t="shared" si="67"/>
        <v>200</v>
      </c>
      <c r="K28">
        <f t="shared" si="67"/>
        <v>0</v>
      </c>
      <c r="L28">
        <f t="shared" si="67"/>
        <v>0</v>
      </c>
      <c r="M28" s="20"/>
      <c r="N28" s="20"/>
      <c r="O28" t="s">
        <v>92</v>
      </c>
      <c r="Q28">
        <f>P29</f>
        <v>0</v>
      </c>
      <c r="R28">
        <f t="shared" ref="R28:X28" si="68">Q29</f>
        <v>200</v>
      </c>
      <c r="S28">
        <f t="shared" si="68"/>
        <v>0</v>
      </c>
      <c r="T28">
        <f t="shared" si="68"/>
        <v>200</v>
      </c>
      <c r="U28">
        <f t="shared" si="68"/>
        <v>0</v>
      </c>
      <c r="V28">
        <f t="shared" si="68"/>
        <v>200</v>
      </c>
      <c r="W28">
        <f t="shared" si="68"/>
        <v>200</v>
      </c>
      <c r="X28">
        <f t="shared" si="68"/>
        <v>0</v>
      </c>
      <c r="Y28" s="20"/>
      <c r="Z28" s="20"/>
      <c r="AA28" t="s">
        <v>92</v>
      </c>
      <c r="AC28">
        <f>AB29</f>
        <v>0</v>
      </c>
      <c r="AD28">
        <f t="shared" ref="AD28:AJ28" si="69">AC29</f>
        <v>150</v>
      </c>
      <c r="AE28">
        <f t="shared" si="69"/>
        <v>0</v>
      </c>
      <c r="AF28">
        <f t="shared" si="69"/>
        <v>150</v>
      </c>
      <c r="AG28">
        <f t="shared" si="69"/>
        <v>150</v>
      </c>
      <c r="AH28">
        <f t="shared" si="69"/>
        <v>0</v>
      </c>
      <c r="AI28">
        <f t="shared" si="69"/>
        <v>0</v>
      </c>
      <c r="AJ28">
        <f t="shared" si="69"/>
        <v>0</v>
      </c>
      <c r="AK28" s="20"/>
      <c r="AL28" s="20"/>
      <c r="AM28" t="s">
        <v>92</v>
      </c>
      <c r="AP28">
        <f>AN29</f>
        <v>0</v>
      </c>
      <c r="AQ28">
        <f t="shared" ref="AQ28:AV28" si="70">AO29</f>
        <v>0</v>
      </c>
      <c r="AR28">
        <f t="shared" si="70"/>
        <v>0</v>
      </c>
      <c r="AS28">
        <f t="shared" si="70"/>
        <v>500</v>
      </c>
      <c r="AT28">
        <f t="shared" si="70"/>
        <v>0</v>
      </c>
      <c r="AU28">
        <f t="shared" si="70"/>
        <v>0</v>
      </c>
      <c r="AV28">
        <f t="shared" si="70"/>
        <v>0</v>
      </c>
      <c r="AW28" s="20"/>
      <c r="AX28" s="20"/>
      <c r="AY28" t="s">
        <v>92</v>
      </c>
      <c r="BB28">
        <f>AZ29</f>
        <v>150</v>
      </c>
      <c r="BC28">
        <f t="shared" ref="BC28" si="71">BA29</f>
        <v>300</v>
      </c>
      <c r="BD28">
        <f t="shared" ref="BD28" si="72">BB29</f>
        <v>150</v>
      </c>
      <c r="BE28">
        <f t="shared" ref="BE28" si="73">BC29</f>
        <v>300</v>
      </c>
      <c r="BF28">
        <f t="shared" ref="BF28" si="74">BD29</f>
        <v>150</v>
      </c>
      <c r="BG28">
        <f t="shared" ref="BG28" si="75">BE29</f>
        <v>0</v>
      </c>
      <c r="BH28">
        <f t="shared" ref="BH28" si="76">BF29</f>
        <v>0</v>
      </c>
      <c r="BI28" s="20"/>
      <c r="BJ28" s="20"/>
      <c r="BK28" t="s">
        <v>92</v>
      </c>
      <c r="BN28">
        <f>BL29</f>
        <v>200</v>
      </c>
      <c r="BO28">
        <f t="shared" ref="BO28" si="77">BM29</f>
        <v>200</v>
      </c>
      <c r="BP28">
        <f t="shared" ref="BP28" si="78">BN29</f>
        <v>200</v>
      </c>
      <c r="BQ28">
        <f t="shared" ref="BQ28" si="79">BO29</f>
        <v>200</v>
      </c>
      <c r="BR28">
        <f t="shared" ref="BR28" si="80">BP29</f>
        <v>200</v>
      </c>
      <c r="BS28">
        <f t="shared" ref="BS28" si="81">BQ29</f>
        <v>0</v>
      </c>
      <c r="BT28">
        <f t="shared" ref="BT28" si="82">BR29</f>
        <v>0</v>
      </c>
    </row>
    <row r="29" spans="1:72">
      <c r="A29" s="20"/>
      <c r="B29" s="20"/>
      <c r="C29" t="s">
        <v>93</v>
      </c>
      <c r="I29">
        <v>200</v>
      </c>
      <c r="M29" s="20"/>
      <c r="N29" s="20"/>
      <c r="O29" t="s">
        <v>93</v>
      </c>
      <c r="Q29">
        <v>200</v>
      </c>
      <c r="S29">
        <v>200</v>
      </c>
      <c r="U29">
        <v>200</v>
      </c>
      <c r="V29">
        <v>200</v>
      </c>
      <c r="Y29" s="20"/>
      <c r="Z29" s="20"/>
      <c r="AA29" t="s">
        <v>93</v>
      </c>
      <c r="AC29">
        <v>150</v>
      </c>
      <c r="AE29">
        <v>150</v>
      </c>
      <c r="AF29">
        <v>150</v>
      </c>
      <c r="AK29" s="20"/>
      <c r="AL29" s="20"/>
      <c r="AM29" t="s">
        <v>93</v>
      </c>
      <c r="AQ29">
        <v>500</v>
      </c>
      <c r="AW29" s="20"/>
      <c r="AX29" s="20"/>
      <c r="AY29" t="s">
        <v>93</v>
      </c>
      <c r="AZ29">
        <v>150</v>
      </c>
      <c r="BA29">
        <v>300</v>
      </c>
      <c r="BB29">
        <v>150</v>
      </c>
      <c r="BC29">
        <v>300</v>
      </c>
      <c r="BD29">
        <v>150</v>
      </c>
      <c r="BI29" s="20"/>
      <c r="BJ29" s="20"/>
      <c r="BK29" t="s">
        <v>93</v>
      </c>
      <c r="BL29">
        <v>200</v>
      </c>
      <c r="BM29">
        <v>200</v>
      </c>
      <c r="BN29">
        <v>200</v>
      </c>
      <c r="BO29">
        <v>200</v>
      </c>
      <c r="BP29">
        <v>200</v>
      </c>
    </row>
    <row r="30" spans="1:72">
      <c r="A30" s="20"/>
      <c r="B30" s="20"/>
      <c r="M30" s="20"/>
      <c r="N30" s="20"/>
      <c r="Y30" s="20"/>
      <c r="Z30" s="20"/>
      <c r="AK30" s="20"/>
      <c r="AL30" s="20"/>
      <c r="AW30" s="20"/>
      <c r="AX30" s="20"/>
      <c r="BI30" s="20"/>
      <c r="BJ30" s="20"/>
    </row>
    <row r="31" spans="1:72">
      <c r="A31" s="20"/>
      <c r="B31" s="20"/>
      <c r="M31" s="20"/>
      <c r="N31" s="20"/>
      <c r="Y31" s="20"/>
      <c r="Z31" s="20"/>
      <c r="AK31" s="20"/>
      <c r="AL31" s="20"/>
      <c r="AW31" s="20"/>
      <c r="AX31" s="20"/>
      <c r="BI31" s="20"/>
      <c r="BJ31" s="20"/>
    </row>
    <row r="32" spans="1:72">
      <c r="A32" s="20"/>
      <c r="B32" s="20"/>
      <c r="C32" s="17" t="s">
        <v>0</v>
      </c>
      <c r="D32" s="17" t="s">
        <v>33</v>
      </c>
      <c r="E32">
        <f>(_xlfn.XMATCH(D32,Item[Item Code],0,))+1</f>
        <v>9</v>
      </c>
      <c r="M32" s="20"/>
      <c r="N32" s="20"/>
      <c r="O32" s="17" t="s">
        <v>0</v>
      </c>
      <c r="P32" s="17" t="s">
        <v>58</v>
      </c>
      <c r="Q32">
        <f>(_xlfn.XMATCH(P32,Item[Item Code],0,))+1</f>
        <v>13</v>
      </c>
      <c r="Y32" s="20"/>
      <c r="Z32" s="20"/>
      <c r="AA32" s="17" t="s">
        <v>0</v>
      </c>
      <c r="AB32" s="17" t="s">
        <v>73</v>
      </c>
      <c r="AC32">
        <f>(_xlfn.XMATCH(AB32,Item[Item Code],0,))+1</f>
        <v>18</v>
      </c>
      <c r="AK32" s="20"/>
      <c r="AL32" s="20"/>
      <c r="AM32" s="17" t="s">
        <v>0</v>
      </c>
      <c r="AN32" s="17" t="s">
        <v>41</v>
      </c>
      <c r="AO32">
        <f>(_xlfn.XMATCH(AN32,Item[Item Code],0,))+1</f>
        <v>11</v>
      </c>
      <c r="AW32" s="20"/>
      <c r="AX32" s="20"/>
      <c r="AY32" s="17" t="s">
        <v>0</v>
      </c>
      <c r="AZ32" s="17" t="s">
        <v>65</v>
      </c>
      <c r="BA32">
        <f>(_xlfn.XMATCH(AZ32,Item[Item Code],0,))+1</f>
        <v>16</v>
      </c>
      <c r="BI32" s="20"/>
      <c r="BJ32" s="20"/>
      <c r="BK32" s="17" t="s">
        <v>0</v>
      </c>
      <c r="BL32" s="17" t="s">
        <v>79</v>
      </c>
      <c r="BM32">
        <f>(_xlfn.XMATCH(BL32,Item[Item Code],0,))+1</f>
        <v>21</v>
      </c>
    </row>
    <row r="33" spans="1:72">
      <c r="A33" s="20"/>
      <c r="B33" s="20"/>
      <c r="C33" s="17" t="s">
        <v>5</v>
      </c>
      <c r="D33">
        <f>HLOOKUP(C33,Item[[#All],[Item Code]:[Lead Time]],E$32,)</f>
        <v>240</v>
      </c>
      <c r="M33" s="20"/>
      <c r="N33" s="20"/>
      <c r="O33" s="17" t="s">
        <v>5</v>
      </c>
      <c r="P33">
        <f>HLOOKUP(O33,Item[[#All],[Item Code]:[Lead Time]],Q$32,)</f>
        <v>260</v>
      </c>
      <c r="Y33" s="20"/>
      <c r="Z33" s="20"/>
      <c r="AA33" s="17" t="s">
        <v>5</v>
      </c>
      <c r="AB33">
        <f>HLOOKUP(AA33,Item[[#All],[Item Code]:[Lead Time]],AC$32,)</f>
        <v>190</v>
      </c>
      <c r="AK33" s="20"/>
      <c r="AL33" s="20"/>
      <c r="AM33" s="17" t="s">
        <v>5</v>
      </c>
      <c r="AN33">
        <f>HLOOKUP(AM33,Item[[#All],[Item Code]:[Lead Time]],AO$32,)</f>
        <v>900</v>
      </c>
      <c r="AW33" s="20"/>
      <c r="AX33" s="20"/>
      <c r="AY33" s="17" t="s">
        <v>5</v>
      </c>
      <c r="AZ33">
        <f>HLOOKUP(AY33,Item[[#All],[Item Code]:[Lead Time]],BA$32,)</f>
        <v>420</v>
      </c>
      <c r="BI33" s="20"/>
      <c r="BJ33" s="20"/>
      <c r="BK33" s="17" t="s">
        <v>5</v>
      </c>
      <c r="BL33">
        <f>HLOOKUP(BK33,Item[[#All],[Item Code]:[Lead Time]],BM$32,)</f>
        <v>160</v>
      </c>
    </row>
    <row r="34" spans="1:72">
      <c r="A34" s="20"/>
      <c r="B34" s="20"/>
      <c r="C34" s="17" t="s">
        <v>6</v>
      </c>
      <c r="D34">
        <f>HLOOKUP(C34,Item[[#All],[Item Code]:[Lead Time]],E$32,)</f>
        <v>80</v>
      </c>
      <c r="M34" s="20"/>
      <c r="N34" s="20"/>
      <c r="O34" s="17" t="s">
        <v>6</v>
      </c>
      <c r="P34">
        <f>HLOOKUP(O34,Item[[#All],[Item Code]:[Lead Time]],Q$32,)</f>
        <v>100</v>
      </c>
      <c r="Y34" s="20"/>
      <c r="Z34" s="20"/>
      <c r="AA34" s="17" t="s">
        <v>6</v>
      </c>
      <c r="AB34">
        <f>HLOOKUP(AA34,Item[[#All],[Item Code]:[Lead Time]],AC$32,)</f>
        <v>60</v>
      </c>
      <c r="AK34" s="20"/>
      <c r="AL34" s="20"/>
      <c r="AM34" s="17" t="s">
        <v>6</v>
      </c>
      <c r="AN34">
        <f>HLOOKUP(AM34,Item[[#All],[Item Code]:[Lead Time]],AO$32,)</f>
        <v>300</v>
      </c>
      <c r="AW34" s="20"/>
      <c r="AX34" s="20"/>
      <c r="AY34" s="17" t="s">
        <v>6</v>
      </c>
      <c r="AZ34">
        <f>HLOOKUP(AY34,Item[[#All],[Item Code]:[Lead Time]],BA$32,)</f>
        <v>150</v>
      </c>
      <c r="BI34" s="20"/>
      <c r="BJ34" s="20"/>
      <c r="BK34" s="17" t="s">
        <v>6</v>
      </c>
      <c r="BL34">
        <f>HLOOKUP(BK34,Item[[#All],[Item Code]:[Lead Time]],BM$32,)</f>
        <v>50</v>
      </c>
    </row>
    <row r="35" spans="1:72">
      <c r="A35" s="20"/>
      <c r="B35" s="20"/>
      <c r="C35" s="17" t="s">
        <v>8</v>
      </c>
      <c r="D35">
        <f>HLOOKUP(C35,Item[[#All],[Item Code]:[Lead Time]],E$32,)</f>
        <v>0</v>
      </c>
      <c r="M35" s="20"/>
      <c r="N35" s="20"/>
      <c r="O35" s="17" t="s">
        <v>8</v>
      </c>
      <c r="P35">
        <f>HLOOKUP(O35,Item[[#All],[Item Code]:[Lead Time]],Q$32,)</f>
        <v>0</v>
      </c>
      <c r="Y35" s="20"/>
      <c r="Z35" s="20"/>
      <c r="AA35" s="17" t="s">
        <v>8</v>
      </c>
      <c r="AB35">
        <f>HLOOKUP(AA35,Item[[#All],[Item Code]:[Lead Time]],AC$32,)</f>
        <v>0</v>
      </c>
      <c r="AK35" s="20"/>
      <c r="AL35" s="20"/>
      <c r="AM35" s="17" t="s">
        <v>8</v>
      </c>
      <c r="AN35">
        <f>HLOOKUP(AM35,Item[[#All],[Item Code]:[Lead Time]],AO$32,)</f>
        <v>1000</v>
      </c>
      <c r="AW35" s="20"/>
      <c r="AX35" s="20"/>
      <c r="AY35" s="17" t="s">
        <v>8</v>
      </c>
      <c r="AZ35">
        <f>HLOOKUP(AY35,Item[[#All],[Item Code]:[Lead Time]],BA$32,)</f>
        <v>0</v>
      </c>
      <c r="BI35" s="20"/>
      <c r="BJ35" s="20"/>
      <c r="BK35" s="17" t="s">
        <v>8</v>
      </c>
      <c r="BL35">
        <f>HLOOKUP(BK35,Item[[#All],[Item Code]:[Lead Time]],BM$32,)</f>
        <v>0</v>
      </c>
    </row>
    <row r="36" spans="1:72">
      <c r="A36" s="20"/>
      <c r="B36" s="20"/>
      <c r="C36" s="17" t="s">
        <v>9</v>
      </c>
      <c r="D36">
        <f>HLOOKUP(C36,Item[[#All],[Item Code]:[Lead Time]],E$32,)</f>
        <v>1</v>
      </c>
      <c r="M36" s="20"/>
      <c r="N36" s="20"/>
      <c r="O36" s="17" t="s">
        <v>9</v>
      </c>
      <c r="P36">
        <f>HLOOKUP(O36,Item[[#All],[Item Code]:[Lead Time]],Q$32,)</f>
        <v>1</v>
      </c>
      <c r="Y36" s="20"/>
      <c r="Z36" s="20"/>
      <c r="AA36" s="17" t="s">
        <v>9</v>
      </c>
      <c r="AB36">
        <f>HLOOKUP(AA36,Item[[#All],[Item Code]:[Lead Time]],AC$32,)</f>
        <v>2</v>
      </c>
      <c r="AK36" s="20"/>
      <c r="AL36" s="20"/>
      <c r="AM36" s="17" t="s">
        <v>9</v>
      </c>
      <c r="AN36">
        <f>HLOOKUP(AM36,Item[[#All],[Item Code]:[Lead Time]],AO$32,)</f>
        <v>1</v>
      </c>
      <c r="AW36" s="20"/>
      <c r="AX36" s="20"/>
      <c r="AY36" s="17" t="s">
        <v>9</v>
      </c>
      <c r="AZ36">
        <f>HLOOKUP(AY36,Item[[#All],[Item Code]:[Lead Time]],BA$32,)</f>
        <v>1</v>
      </c>
      <c r="BI36" s="20"/>
      <c r="BJ36" s="20"/>
      <c r="BK36" s="17" t="s">
        <v>9</v>
      </c>
      <c r="BL36">
        <f>HLOOKUP(BK36,Item[[#All],[Item Code]:[Lead Time]],BM$32,)</f>
        <v>1</v>
      </c>
    </row>
    <row r="37" spans="1:72">
      <c r="A37" s="20"/>
      <c r="B37" s="20"/>
      <c r="C37" t="s">
        <v>90</v>
      </c>
      <c r="D37">
        <f>_xlfn.XLOOKUP(D32,BOM[Component Item],BOM[Quantity Per Assembly])</f>
        <v>1</v>
      </c>
      <c r="M37" s="20"/>
      <c r="N37" s="20"/>
      <c r="O37" t="s">
        <v>90</v>
      </c>
      <c r="P37">
        <f>_xlfn.XLOOKUP(P32,BOM[Component Item],BOM[Quantity Per Assembly])</f>
        <v>4</v>
      </c>
      <c r="Y37" s="20"/>
      <c r="Z37" s="20"/>
      <c r="AA37" t="s">
        <v>90</v>
      </c>
      <c r="AB37">
        <f>_xlfn.XLOOKUP(AB32,BOM[Component Item],BOM[Quantity Per Assembly])</f>
        <v>2</v>
      </c>
      <c r="AK37" s="20"/>
      <c r="AL37" s="20"/>
      <c r="AM37" t="s">
        <v>90</v>
      </c>
      <c r="AN37">
        <f>_xlfn.XLOOKUP(AN32,BOM[Component Item],BOM[Quantity Per Assembly])</f>
        <v>2</v>
      </c>
      <c r="AW37" s="20"/>
      <c r="AX37" s="20"/>
      <c r="AY37" t="s">
        <v>90</v>
      </c>
      <c r="AZ37">
        <f>_xlfn.XLOOKUP(AZ32,BOM[Component Item],BOM[Quantity Per Assembly])</f>
        <v>1</v>
      </c>
      <c r="BI37" s="20"/>
      <c r="BJ37" s="20"/>
      <c r="BK37" t="s">
        <v>90</v>
      </c>
      <c r="BL37">
        <f>_xlfn.XLOOKUP(BL32,BOM[Component Item],BOM[Quantity Per Assembly])</f>
        <v>3</v>
      </c>
    </row>
    <row r="38" spans="1:72">
      <c r="A38" s="20"/>
      <c r="B38" s="20"/>
      <c r="C38" t="s">
        <v>91</v>
      </c>
      <c r="D38" cm="1">
        <f t="array" ref="D38:L38">_xlfn.SEQUENCE(,9,0)</f>
        <v>0</v>
      </c>
      <c r="E38">
        <v>1</v>
      </c>
      <c r="F38">
        <v>2</v>
      </c>
      <c r="G38">
        <v>3</v>
      </c>
      <c r="H38">
        <v>4</v>
      </c>
      <c r="I38">
        <v>5</v>
      </c>
      <c r="J38">
        <v>6</v>
      </c>
      <c r="K38">
        <v>7</v>
      </c>
      <c r="L38">
        <v>8</v>
      </c>
      <c r="M38" s="20"/>
      <c r="N38" s="20"/>
      <c r="O38" t="s">
        <v>91</v>
      </c>
      <c r="P38" cm="1">
        <f t="array" ref="P38:X38">_xlfn.SEQUENCE(,9,0)</f>
        <v>0</v>
      </c>
      <c r="Q38">
        <v>1</v>
      </c>
      <c r="R38">
        <v>2</v>
      </c>
      <c r="S38">
        <v>3</v>
      </c>
      <c r="T38">
        <v>4</v>
      </c>
      <c r="U38">
        <v>5</v>
      </c>
      <c r="V38">
        <v>6</v>
      </c>
      <c r="W38">
        <v>7</v>
      </c>
      <c r="X38">
        <v>8</v>
      </c>
      <c r="Y38" s="20"/>
      <c r="Z38" s="20"/>
      <c r="AA38" t="s">
        <v>91</v>
      </c>
      <c r="AB38" cm="1">
        <f t="array" ref="AB38:AJ38">_xlfn.SEQUENCE(,9,0)</f>
        <v>0</v>
      </c>
      <c r="AC38">
        <v>1</v>
      </c>
      <c r="AD38">
        <v>2</v>
      </c>
      <c r="AE38">
        <v>3</v>
      </c>
      <c r="AF38">
        <v>4</v>
      </c>
      <c r="AG38">
        <v>5</v>
      </c>
      <c r="AH38">
        <v>6</v>
      </c>
      <c r="AI38">
        <v>7</v>
      </c>
      <c r="AJ38">
        <v>8</v>
      </c>
      <c r="AK38" s="20"/>
      <c r="AL38" s="20"/>
      <c r="AM38" t="s">
        <v>91</v>
      </c>
      <c r="AN38" cm="1">
        <f t="array" ref="AN38:AV38">_xlfn.SEQUENCE(,9,0)</f>
        <v>0</v>
      </c>
      <c r="AO38">
        <v>1</v>
      </c>
      <c r="AP38">
        <v>2</v>
      </c>
      <c r="AQ38">
        <v>3</v>
      </c>
      <c r="AR38">
        <v>4</v>
      </c>
      <c r="AS38">
        <v>5</v>
      </c>
      <c r="AT38">
        <v>6</v>
      </c>
      <c r="AU38">
        <v>7</v>
      </c>
      <c r="AV38">
        <v>8</v>
      </c>
      <c r="AW38" s="20"/>
      <c r="AX38" s="20"/>
      <c r="AY38" t="s">
        <v>91</v>
      </c>
      <c r="AZ38" cm="1">
        <f t="array" ref="AZ38:BH38">_xlfn.SEQUENCE(,9,0)</f>
        <v>0</v>
      </c>
      <c r="BA38">
        <v>1</v>
      </c>
      <c r="BB38">
        <v>2</v>
      </c>
      <c r="BC38">
        <v>3</v>
      </c>
      <c r="BD38">
        <v>4</v>
      </c>
      <c r="BE38">
        <v>5</v>
      </c>
      <c r="BF38">
        <v>6</v>
      </c>
      <c r="BG38">
        <v>7</v>
      </c>
      <c r="BH38">
        <v>8</v>
      </c>
      <c r="BI38" s="20"/>
      <c r="BJ38" s="20"/>
      <c r="BK38" t="s">
        <v>91</v>
      </c>
      <c r="BL38" cm="1">
        <f t="array" ref="BL38:BT38">_xlfn.SEQUENCE(,9,0)</f>
        <v>0</v>
      </c>
      <c r="BM38">
        <v>1</v>
      </c>
      <c r="BN38">
        <v>2</v>
      </c>
      <c r="BO38">
        <v>3</v>
      </c>
      <c r="BP38">
        <v>4</v>
      </c>
      <c r="BQ38">
        <v>5</v>
      </c>
      <c r="BR38">
        <v>6</v>
      </c>
      <c r="BS38">
        <v>7</v>
      </c>
      <c r="BT38">
        <v>8</v>
      </c>
    </row>
    <row r="39" spans="1:72">
      <c r="A39" s="20"/>
      <c r="B39" s="20"/>
      <c r="C39" t="s">
        <v>89</v>
      </c>
      <c r="E39">
        <f t="shared" ref="E39:L39" si="83">F13</f>
        <v>0</v>
      </c>
      <c r="F39">
        <f t="shared" si="83"/>
        <v>100</v>
      </c>
      <c r="G39">
        <f t="shared" si="83"/>
        <v>100</v>
      </c>
      <c r="H39">
        <f t="shared" si="83"/>
        <v>100</v>
      </c>
      <c r="I39">
        <f t="shared" si="83"/>
        <v>100</v>
      </c>
      <c r="J39">
        <f t="shared" si="83"/>
        <v>200</v>
      </c>
      <c r="K39">
        <f t="shared" si="83"/>
        <v>0</v>
      </c>
      <c r="L39">
        <f t="shared" si="83"/>
        <v>0</v>
      </c>
      <c r="M39" s="20"/>
      <c r="N39" s="20"/>
      <c r="O39" t="s">
        <v>89</v>
      </c>
      <c r="Q39" cm="1">
        <f t="array" ref="Q39:X39">($Q$14:$X$14)*P37</f>
        <v>0</v>
      </c>
      <c r="R39">
        <v>400</v>
      </c>
      <c r="S39">
        <v>400</v>
      </c>
      <c r="T39">
        <v>400</v>
      </c>
      <c r="U39">
        <v>400</v>
      </c>
      <c r="V39">
        <v>800</v>
      </c>
      <c r="W39">
        <v>400</v>
      </c>
      <c r="X39">
        <v>0</v>
      </c>
      <c r="Y39" s="20"/>
      <c r="Z39" s="20"/>
      <c r="AA39" t="s">
        <v>89</v>
      </c>
      <c r="AC39" cm="1">
        <f t="array" ref="AC39:AJ39">$AC$14:$AJ$14*AB37</f>
        <v>0</v>
      </c>
      <c r="AD39">
        <v>160</v>
      </c>
      <c r="AE39">
        <v>160</v>
      </c>
      <c r="AF39">
        <v>320</v>
      </c>
      <c r="AG39">
        <v>160</v>
      </c>
      <c r="AH39">
        <v>320</v>
      </c>
      <c r="AI39">
        <v>160</v>
      </c>
      <c r="AJ39">
        <v>0</v>
      </c>
      <c r="AK39" s="20"/>
      <c r="AL39" s="20"/>
      <c r="AM39" t="s">
        <v>89</v>
      </c>
      <c r="AO39" cm="1">
        <f t="array" ref="AO39:AV39">$AO$14:$AV$14*AN37</f>
        <v>0</v>
      </c>
      <c r="AP39">
        <v>160</v>
      </c>
      <c r="AQ39">
        <v>320</v>
      </c>
      <c r="AR39">
        <v>0</v>
      </c>
      <c r="AS39">
        <v>320</v>
      </c>
      <c r="AT39">
        <v>0</v>
      </c>
      <c r="AU39">
        <v>0</v>
      </c>
      <c r="AV39">
        <v>0</v>
      </c>
      <c r="AW39" s="20"/>
      <c r="AX39" s="20"/>
      <c r="AY39" t="s">
        <v>89</v>
      </c>
      <c r="BA39" cm="1">
        <f t="array" ref="BA39:BH39">$BA$14:$BH$14*AZ37</f>
        <v>60</v>
      </c>
      <c r="BB39">
        <v>60</v>
      </c>
      <c r="BC39">
        <v>120</v>
      </c>
      <c r="BD39">
        <v>60</v>
      </c>
      <c r="BE39">
        <v>240</v>
      </c>
      <c r="BF39">
        <v>60</v>
      </c>
      <c r="BG39">
        <v>0</v>
      </c>
      <c r="BH39">
        <v>0</v>
      </c>
      <c r="BI39" s="20"/>
      <c r="BJ39" s="20"/>
      <c r="BK39" t="s">
        <v>89</v>
      </c>
      <c r="BM39" cm="1">
        <f t="array" ref="BM39:BR39">$BM$14:$BR$14*BL37</f>
        <v>180</v>
      </c>
      <c r="BN39">
        <v>180</v>
      </c>
      <c r="BO39">
        <v>360</v>
      </c>
      <c r="BP39">
        <v>360</v>
      </c>
      <c r="BQ39">
        <v>360</v>
      </c>
      <c r="BR39">
        <v>360</v>
      </c>
    </row>
    <row r="40" spans="1:72">
      <c r="A40" s="20"/>
      <c r="B40" s="20"/>
      <c r="C40" t="s">
        <v>28</v>
      </c>
      <c r="H40">
        <v>150</v>
      </c>
      <c r="M40" s="20"/>
      <c r="N40" s="20"/>
      <c r="O40" t="s">
        <v>28</v>
      </c>
      <c r="Y40" s="20"/>
      <c r="Z40" s="20"/>
      <c r="AA40" t="s">
        <v>28</v>
      </c>
      <c r="AK40" s="20"/>
      <c r="AL40" s="20"/>
      <c r="AM40" t="s">
        <v>28</v>
      </c>
      <c r="AQ40">
        <v>1000</v>
      </c>
      <c r="AW40" s="20"/>
      <c r="AX40" s="20"/>
      <c r="AY40" t="s">
        <v>28</v>
      </c>
      <c r="BI40" s="20"/>
      <c r="BJ40" s="20"/>
      <c r="BK40" t="s">
        <v>28</v>
      </c>
    </row>
    <row r="41" spans="1:72">
      <c r="A41" s="20"/>
      <c r="B41" s="20"/>
      <c r="C41" s="17" t="s">
        <v>94</v>
      </c>
      <c r="D41">
        <f>D33</f>
        <v>240</v>
      </c>
      <c r="E41">
        <f>D41+E43+E40+-E39</f>
        <v>240</v>
      </c>
      <c r="F41">
        <f t="shared" ref="F41" si="84">E41+F43+F40+-F39</f>
        <v>140</v>
      </c>
      <c r="G41">
        <f t="shared" ref="G41" si="85">F41+G43+G40+-G39</f>
        <v>80</v>
      </c>
      <c r="H41">
        <f>G41+H43+H40+-H39</f>
        <v>130</v>
      </c>
      <c r="I41">
        <f t="shared" ref="I41" si="86">H41+I43+I40+-I39</f>
        <v>80</v>
      </c>
      <c r="J41">
        <f t="shared" ref="J41" si="87">I41+J43+J40+-J39</f>
        <v>80</v>
      </c>
      <c r="K41">
        <f t="shared" ref="K41" si="88">J41+K43+K40+-K39</f>
        <v>80</v>
      </c>
      <c r="L41">
        <f t="shared" ref="L41" si="89">K41+L43+L40+-L39</f>
        <v>80</v>
      </c>
      <c r="M41" s="20"/>
      <c r="N41" s="20"/>
      <c r="O41" s="17" t="s">
        <v>94</v>
      </c>
      <c r="P41">
        <f>P33</f>
        <v>260</v>
      </c>
      <c r="Q41">
        <f>P41+Q43+Q40+-Q39</f>
        <v>260</v>
      </c>
      <c r="R41">
        <f t="shared" ref="R41" si="90">Q41+R43+R40+-R39</f>
        <v>160</v>
      </c>
      <c r="S41">
        <f t="shared" ref="S41" si="91">R41+S43+S40+-S39</f>
        <v>160</v>
      </c>
      <c r="T41">
        <f>S41+T43+T40+-T39</f>
        <v>160</v>
      </c>
      <c r="U41">
        <f t="shared" ref="U41" si="92">T41+U43+U40+-U39</f>
        <v>160</v>
      </c>
      <c r="V41">
        <f t="shared" ref="V41" si="93">U41+V43+V40+-V39</f>
        <v>160</v>
      </c>
      <c r="W41">
        <f t="shared" ref="W41" si="94">V41+W43+W40+-W39</f>
        <v>160</v>
      </c>
      <c r="X41">
        <f t="shared" ref="X41" si="95">W41+X43+X40+-X39</f>
        <v>160</v>
      </c>
      <c r="Y41" s="20"/>
      <c r="Z41" s="20"/>
      <c r="AA41" s="17" t="s">
        <v>94</v>
      </c>
      <c r="AB41">
        <f>AB33</f>
        <v>190</v>
      </c>
      <c r="AC41">
        <f>AB41+AC43+AC40+-AC39</f>
        <v>190</v>
      </c>
      <c r="AD41">
        <f t="shared" ref="AD41" si="96">AC41+AD43+AD40+-AD39</f>
        <v>60</v>
      </c>
      <c r="AE41">
        <f t="shared" ref="AE41" si="97">AD41+AE43+AE40+-AE39</f>
        <v>60</v>
      </c>
      <c r="AF41">
        <f t="shared" ref="AF41" si="98">AE41+AF43+AF40+-AF39</f>
        <v>60</v>
      </c>
      <c r="AG41">
        <f t="shared" ref="AG41" si="99">AF41+AG43+AG40+-AG39</f>
        <v>60</v>
      </c>
      <c r="AH41">
        <f t="shared" ref="AH41" si="100">AG41+AH43+AH40+-AH39</f>
        <v>60</v>
      </c>
      <c r="AI41">
        <f t="shared" ref="AI41" si="101">AH41+AI43+AI40+-AI39</f>
        <v>60</v>
      </c>
      <c r="AJ41">
        <f t="shared" ref="AJ41" si="102">AI41+AJ43+AJ40+-AJ39</f>
        <v>60</v>
      </c>
      <c r="AK41" s="20"/>
      <c r="AL41" s="20"/>
      <c r="AM41" s="17" t="s">
        <v>94</v>
      </c>
      <c r="AN41">
        <f>AN33</f>
        <v>900</v>
      </c>
      <c r="AO41">
        <f>AN41+AO43+AO40+-AO39</f>
        <v>900</v>
      </c>
      <c r="AP41">
        <f t="shared" ref="AP41" si="103">AO41+AP43+AP40+-AP39</f>
        <v>740</v>
      </c>
      <c r="AQ41">
        <f t="shared" ref="AQ41" si="104">AP41+AQ43+AQ40+-AQ39</f>
        <v>1420</v>
      </c>
      <c r="AR41">
        <f t="shared" ref="AR41" si="105">AQ41+AR43+AR40+-AR39</f>
        <v>1420</v>
      </c>
      <c r="AS41">
        <f t="shared" ref="AS41" si="106">AR41+AS43+AS40+-AS39</f>
        <v>1100</v>
      </c>
      <c r="AT41">
        <f t="shared" ref="AT41" si="107">AS41+AT43+AT40+-AT39</f>
        <v>1100</v>
      </c>
      <c r="AU41">
        <f t="shared" ref="AU41" si="108">AT41+AU43+AU40+-AU39</f>
        <v>1100</v>
      </c>
      <c r="AV41">
        <f t="shared" ref="AV41" si="109">AU41+AV43+AV40+-AV39</f>
        <v>1100</v>
      </c>
      <c r="AW41" s="20"/>
      <c r="AX41" s="20"/>
      <c r="AY41" s="17" t="s">
        <v>94</v>
      </c>
      <c r="AZ41">
        <f>AZ33</f>
        <v>420</v>
      </c>
      <c r="BA41">
        <f>AZ41+BA43+BA40+-BA39</f>
        <v>360</v>
      </c>
      <c r="BB41">
        <f t="shared" ref="BB41" si="110">BA41+BB43+BB40+-BB39</f>
        <v>300</v>
      </c>
      <c r="BC41">
        <f t="shared" ref="BC41" si="111">BB41+BC43+BC40+-BC39</f>
        <v>180</v>
      </c>
      <c r="BD41">
        <f t="shared" ref="BD41" si="112">BC41+BD43+BD40+-BD39</f>
        <v>150</v>
      </c>
      <c r="BE41">
        <f t="shared" ref="BE41" si="113">BD41+BE43+BE40+-BE39</f>
        <v>150</v>
      </c>
      <c r="BF41">
        <f t="shared" ref="BF41" si="114">BE41+BF43+BF40+-BF39</f>
        <v>150</v>
      </c>
      <c r="BG41">
        <f t="shared" ref="BG41" si="115">BF41+BG43+BG40+-BG39</f>
        <v>150</v>
      </c>
      <c r="BH41">
        <f t="shared" ref="BH41" si="116">BG41+BH43+BH40+-BH39</f>
        <v>150</v>
      </c>
      <c r="BI41" s="20"/>
      <c r="BJ41" s="20"/>
      <c r="BK41" s="17" t="s">
        <v>94</v>
      </c>
      <c r="BL41">
        <f>BL33</f>
        <v>160</v>
      </c>
      <c r="BM41">
        <f>BL41+BM43+BM40+-BM39</f>
        <v>50</v>
      </c>
      <c r="BN41">
        <f t="shared" ref="BN41" si="117">BM41+BN43+BN40+-BN39</f>
        <v>50</v>
      </c>
      <c r="BO41">
        <f t="shared" ref="BO41" si="118">BN41+BO43+BO40+-BO39</f>
        <v>50</v>
      </c>
      <c r="BP41">
        <f t="shared" ref="BP41" si="119">BO41+BP43+BP40+-BP39</f>
        <v>50</v>
      </c>
      <c r="BQ41">
        <f t="shared" ref="BQ41" si="120">BP41+BQ43+BQ40+-BQ39</f>
        <v>50</v>
      </c>
      <c r="BR41">
        <f t="shared" ref="BR41" si="121">BQ41+BR43+BR40+-BR39</f>
        <v>50</v>
      </c>
      <c r="BS41">
        <f t="shared" ref="BS41" si="122">BR41+BS43+BS40+-BS39</f>
        <v>50</v>
      </c>
      <c r="BT41">
        <f t="shared" ref="BT41" si="123">BS41+BT43+BT40+-BT39</f>
        <v>50</v>
      </c>
    </row>
    <row r="42" spans="1:72">
      <c r="A42" s="20"/>
      <c r="B42" s="20"/>
      <c r="C42" s="17" t="s">
        <v>95</v>
      </c>
      <c r="E42">
        <f>IF(E39+$D$34-E40-D41&lt;0, 0,E39+$D$34-E40-D41)</f>
        <v>0</v>
      </c>
      <c r="F42">
        <f t="shared" ref="F42:L42" si="124">IF(F39+$D$34-F40-E41&lt;0, 0,F39+$D$34-F40-E41)</f>
        <v>0</v>
      </c>
      <c r="G42">
        <f>IF(G39+$D$34-G40-F41&lt;0, 0,G39+$D$34-G40-F41)</f>
        <v>40</v>
      </c>
      <c r="H42">
        <f t="shared" si="124"/>
        <v>0</v>
      </c>
      <c r="I42">
        <f t="shared" si="124"/>
        <v>50</v>
      </c>
      <c r="J42">
        <f t="shared" si="124"/>
        <v>200</v>
      </c>
      <c r="K42">
        <f t="shared" si="124"/>
        <v>0</v>
      </c>
      <c r="L42">
        <f t="shared" si="124"/>
        <v>0</v>
      </c>
      <c r="M42" s="20"/>
      <c r="N42" s="20"/>
      <c r="O42" s="17" t="s">
        <v>95</v>
      </c>
      <c r="Q42">
        <f>IF(Q39+$P$34-Q40-P41&lt;0, 0,Q39+$P$34-Q40-P41)</f>
        <v>0</v>
      </c>
      <c r="R42">
        <f t="shared" ref="R42:X42" si="125">IF(R39+$P$34-R40-Q41&lt;0, 0,R39+$P$34-R40-Q41)</f>
        <v>240</v>
      </c>
      <c r="S42">
        <f t="shared" si="125"/>
        <v>340</v>
      </c>
      <c r="T42">
        <f t="shared" si="125"/>
        <v>340</v>
      </c>
      <c r="U42">
        <f t="shared" si="125"/>
        <v>340</v>
      </c>
      <c r="V42">
        <f t="shared" si="125"/>
        <v>740</v>
      </c>
      <c r="W42">
        <f t="shared" si="125"/>
        <v>340</v>
      </c>
      <c r="X42">
        <f t="shared" si="125"/>
        <v>0</v>
      </c>
      <c r="Y42" s="20"/>
      <c r="Z42" s="20"/>
      <c r="AA42" s="17" t="s">
        <v>95</v>
      </c>
      <c r="AC42">
        <f>IF(AC39+$AB$34-AC40-AB41&lt;0, 0,AC39+$AB$34-AC40-AB41)</f>
        <v>0</v>
      </c>
      <c r="AD42">
        <f t="shared" ref="AD42:AJ42" si="126">IF(AD39+$AB$34-AD40-AC41&lt;0, 0,AD39+$AB$34-AD40-AC41)</f>
        <v>30</v>
      </c>
      <c r="AE42">
        <f t="shared" si="126"/>
        <v>160</v>
      </c>
      <c r="AF42">
        <f t="shared" si="126"/>
        <v>320</v>
      </c>
      <c r="AG42">
        <f t="shared" si="126"/>
        <v>160</v>
      </c>
      <c r="AH42">
        <f t="shared" si="126"/>
        <v>320</v>
      </c>
      <c r="AI42">
        <f t="shared" si="126"/>
        <v>160</v>
      </c>
      <c r="AJ42">
        <f t="shared" si="126"/>
        <v>0</v>
      </c>
      <c r="AK42" s="20"/>
      <c r="AL42" s="20"/>
      <c r="AM42" s="17" t="s">
        <v>95</v>
      </c>
      <c r="AO42">
        <f>IF(AO39+$AN$19-AO40-AN41&lt;0, 0,AO39+$AN$19-AO40-AN41)</f>
        <v>0</v>
      </c>
      <c r="AP42">
        <f t="shared" ref="AP42:AV42" si="127">IF(AP39+$AN$19-AP40-AO41&lt;0, 0,AP39+$AN$19-AP40-AO41)</f>
        <v>0</v>
      </c>
      <c r="AQ42">
        <f t="shared" si="127"/>
        <v>0</v>
      </c>
      <c r="AR42">
        <f t="shared" si="127"/>
        <v>0</v>
      </c>
      <c r="AS42">
        <f t="shared" si="127"/>
        <v>0</v>
      </c>
      <c r="AT42">
        <f t="shared" si="127"/>
        <v>0</v>
      </c>
      <c r="AU42">
        <f t="shared" si="127"/>
        <v>0</v>
      </c>
      <c r="AV42">
        <f t="shared" si="127"/>
        <v>0</v>
      </c>
      <c r="AW42" s="20"/>
      <c r="AX42" s="20"/>
      <c r="AY42" s="17" t="s">
        <v>95</v>
      </c>
      <c r="BA42">
        <f>IF(BA39+$AZ$34-BA40-AZ41&lt;0, 0,BA39+$AZ$34-BA40-AZ41)</f>
        <v>0</v>
      </c>
      <c r="BB42">
        <f t="shared" ref="BB42:BH42" si="128">IF(BB39+$AZ$34-BB40-BA41&lt;0, 0,BB39+$AZ$34-BB40-BA41)</f>
        <v>0</v>
      </c>
      <c r="BC42">
        <f t="shared" si="128"/>
        <v>0</v>
      </c>
      <c r="BD42">
        <f t="shared" si="128"/>
        <v>30</v>
      </c>
      <c r="BE42">
        <f t="shared" si="128"/>
        <v>240</v>
      </c>
      <c r="BF42">
        <f t="shared" si="128"/>
        <v>60</v>
      </c>
      <c r="BG42">
        <f t="shared" si="128"/>
        <v>0</v>
      </c>
      <c r="BH42">
        <f t="shared" si="128"/>
        <v>0</v>
      </c>
      <c r="BI42" s="20"/>
      <c r="BJ42" s="20"/>
      <c r="BK42" s="17" t="s">
        <v>95</v>
      </c>
      <c r="BM42">
        <f>IF(BM39+$BL$34-BM40-BL41&lt;0, 0,BM39+$BL$34-BM40-BL41)</f>
        <v>70</v>
      </c>
      <c r="BN42">
        <f t="shared" ref="BN42:BT42" si="129">IF(BN39+$BL$34-BN40-BM41&lt;0, 0,BN39+$BL$34-BN40-BM41)</f>
        <v>180</v>
      </c>
      <c r="BO42">
        <f t="shared" si="129"/>
        <v>360</v>
      </c>
      <c r="BP42">
        <f t="shared" si="129"/>
        <v>360</v>
      </c>
      <c r="BQ42">
        <f t="shared" si="129"/>
        <v>360</v>
      </c>
      <c r="BR42">
        <f t="shared" si="129"/>
        <v>360</v>
      </c>
      <c r="BS42">
        <f t="shared" si="129"/>
        <v>0</v>
      </c>
      <c r="BT42">
        <f t="shared" si="129"/>
        <v>0</v>
      </c>
    </row>
    <row r="43" spans="1:72">
      <c r="A43" s="20"/>
      <c r="B43" s="20"/>
      <c r="C43" t="s">
        <v>92</v>
      </c>
      <c r="E43">
        <f>D44</f>
        <v>0</v>
      </c>
      <c r="F43">
        <f t="shared" ref="F43:L43" si="130">E44</f>
        <v>0</v>
      </c>
      <c r="G43">
        <f t="shared" si="130"/>
        <v>40</v>
      </c>
      <c r="H43">
        <f t="shared" si="130"/>
        <v>0</v>
      </c>
      <c r="I43">
        <f t="shared" si="130"/>
        <v>50</v>
      </c>
      <c r="J43">
        <f t="shared" si="130"/>
        <v>200</v>
      </c>
      <c r="K43">
        <f t="shared" si="130"/>
        <v>0</v>
      </c>
      <c r="L43">
        <f t="shared" si="130"/>
        <v>0</v>
      </c>
      <c r="M43" s="20"/>
      <c r="N43" s="20"/>
      <c r="O43" t="s">
        <v>92</v>
      </c>
      <c r="Q43">
        <f>P44</f>
        <v>0</v>
      </c>
      <c r="R43">
        <f t="shared" ref="R43:X43" si="131">Q44</f>
        <v>300</v>
      </c>
      <c r="S43">
        <f t="shared" si="131"/>
        <v>400</v>
      </c>
      <c r="T43">
        <f t="shared" si="131"/>
        <v>400</v>
      </c>
      <c r="U43">
        <f t="shared" si="131"/>
        <v>400</v>
      </c>
      <c r="V43">
        <f t="shared" si="131"/>
        <v>800</v>
      </c>
      <c r="W43">
        <f t="shared" si="131"/>
        <v>400</v>
      </c>
      <c r="X43">
        <f t="shared" si="131"/>
        <v>0</v>
      </c>
      <c r="Y43" s="20"/>
      <c r="Z43" s="20"/>
      <c r="AA43" t="s">
        <v>92</v>
      </c>
      <c r="AC43">
        <v>0</v>
      </c>
      <c r="AD43">
        <f>AB44</f>
        <v>30</v>
      </c>
      <c r="AE43">
        <f t="shared" ref="AE43:AJ43" si="132">AC44</f>
        <v>160</v>
      </c>
      <c r="AF43">
        <f t="shared" si="132"/>
        <v>320</v>
      </c>
      <c r="AG43">
        <f t="shared" si="132"/>
        <v>160</v>
      </c>
      <c r="AH43">
        <f t="shared" si="132"/>
        <v>320</v>
      </c>
      <c r="AI43">
        <f t="shared" si="132"/>
        <v>160</v>
      </c>
      <c r="AJ43">
        <f t="shared" si="132"/>
        <v>0</v>
      </c>
      <c r="AK43" s="20"/>
      <c r="AL43" s="20"/>
      <c r="AM43" t="s">
        <v>92</v>
      </c>
      <c r="AO43">
        <f>AN44</f>
        <v>0</v>
      </c>
      <c r="AP43">
        <f t="shared" ref="AP43:AV43" si="133">AO44</f>
        <v>0</v>
      </c>
      <c r="AQ43">
        <f t="shared" si="133"/>
        <v>0</v>
      </c>
      <c r="AR43">
        <f t="shared" si="133"/>
        <v>0</v>
      </c>
      <c r="AS43">
        <f t="shared" si="133"/>
        <v>0</v>
      </c>
      <c r="AT43">
        <f t="shared" si="133"/>
        <v>0</v>
      </c>
      <c r="AU43">
        <f t="shared" si="133"/>
        <v>0</v>
      </c>
      <c r="AV43">
        <f t="shared" si="133"/>
        <v>0</v>
      </c>
      <c r="AW43" s="20"/>
      <c r="AX43" s="20"/>
      <c r="AY43" t="s">
        <v>92</v>
      </c>
      <c r="BA43">
        <f>AZ44</f>
        <v>0</v>
      </c>
      <c r="BB43">
        <f t="shared" ref="BB43:BH43" si="134">BA44</f>
        <v>0</v>
      </c>
      <c r="BC43">
        <f t="shared" si="134"/>
        <v>0</v>
      </c>
      <c r="BD43">
        <f t="shared" si="134"/>
        <v>30</v>
      </c>
      <c r="BE43">
        <f t="shared" si="134"/>
        <v>240</v>
      </c>
      <c r="BF43">
        <f t="shared" si="134"/>
        <v>60</v>
      </c>
      <c r="BG43">
        <f t="shared" si="134"/>
        <v>0</v>
      </c>
      <c r="BH43">
        <f t="shared" si="134"/>
        <v>0</v>
      </c>
      <c r="BI43" s="20"/>
      <c r="BJ43" s="20"/>
      <c r="BK43" t="s">
        <v>92</v>
      </c>
      <c r="BM43">
        <f>BL44</f>
        <v>70</v>
      </c>
      <c r="BN43">
        <f t="shared" ref="BN43:BT43" si="135">BM44</f>
        <v>180</v>
      </c>
      <c r="BO43">
        <f t="shared" si="135"/>
        <v>360</v>
      </c>
      <c r="BP43">
        <f t="shared" si="135"/>
        <v>360</v>
      </c>
      <c r="BQ43">
        <f t="shared" si="135"/>
        <v>360</v>
      </c>
      <c r="BR43">
        <f t="shared" si="135"/>
        <v>360</v>
      </c>
      <c r="BS43">
        <f t="shared" si="135"/>
        <v>0</v>
      </c>
      <c r="BT43">
        <f t="shared" si="135"/>
        <v>0</v>
      </c>
    </row>
    <row r="44" spans="1:72">
      <c r="A44" s="20"/>
      <c r="B44" s="20"/>
      <c r="C44" t="s">
        <v>93</v>
      </c>
      <c r="F44">
        <v>40</v>
      </c>
      <c r="H44">
        <v>50</v>
      </c>
      <c r="I44">
        <v>200</v>
      </c>
      <c r="M44" s="20"/>
      <c r="N44" s="20"/>
      <c r="O44" t="s">
        <v>93</v>
      </c>
      <c r="Q44">
        <v>300</v>
      </c>
      <c r="R44">
        <v>400</v>
      </c>
      <c r="S44">
        <v>400</v>
      </c>
      <c r="T44">
        <v>400</v>
      </c>
      <c r="U44">
        <v>800</v>
      </c>
      <c r="V44">
        <v>400</v>
      </c>
      <c r="Y44" s="20"/>
      <c r="Z44" s="20"/>
      <c r="AA44" t="s">
        <v>93</v>
      </c>
      <c r="AB44">
        <v>30</v>
      </c>
      <c r="AC44">
        <v>160</v>
      </c>
      <c r="AD44">
        <v>320</v>
      </c>
      <c r="AE44">
        <v>160</v>
      </c>
      <c r="AF44">
        <v>320</v>
      </c>
      <c r="AG44">
        <v>160</v>
      </c>
      <c r="AK44" s="20"/>
      <c r="AL44" s="20"/>
      <c r="AM44" t="s">
        <v>93</v>
      </c>
      <c r="AW44" s="20"/>
      <c r="AX44" s="20"/>
      <c r="AY44" t="s">
        <v>93</v>
      </c>
      <c r="BC44">
        <v>30</v>
      </c>
      <c r="BD44">
        <v>240</v>
      </c>
      <c r="BE44">
        <v>60</v>
      </c>
      <c r="BI44" s="20"/>
      <c r="BJ44" s="20"/>
      <c r="BK44" t="s">
        <v>93</v>
      </c>
      <c r="BL44">
        <v>70</v>
      </c>
      <c r="BM44">
        <v>180</v>
      </c>
      <c r="BN44">
        <v>360</v>
      </c>
      <c r="BO44">
        <v>360</v>
      </c>
      <c r="BP44">
        <v>360</v>
      </c>
      <c r="BQ44">
        <v>360</v>
      </c>
    </row>
    <row r="45" spans="1:72">
      <c r="A45" s="20"/>
      <c r="B45" s="20"/>
      <c r="M45" s="20"/>
      <c r="N45" s="20"/>
      <c r="Y45" s="20"/>
      <c r="Z45" s="20"/>
      <c r="AK45" s="20"/>
      <c r="AL45" s="20"/>
      <c r="AW45" s="20"/>
      <c r="AX45" s="20"/>
      <c r="BI45" s="20"/>
      <c r="BJ45" s="20"/>
    </row>
    <row r="46" spans="1:72">
      <c r="A46" s="20"/>
      <c r="B46" s="20"/>
      <c r="M46" s="20"/>
      <c r="N46" s="20"/>
      <c r="Y46" s="20"/>
      <c r="Z46" s="20"/>
      <c r="AK46" s="20"/>
      <c r="AL46" s="20"/>
      <c r="AW46" s="20"/>
      <c r="AX46" s="20"/>
      <c r="BI46" s="20"/>
      <c r="BJ46" s="20"/>
    </row>
    <row r="47" spans="1:72">
      <c r="A47" s="20"/>
      <c r="B47" s="20"/>
      <c r="C47" s="17" t="s">
        <v>0</v>
      </c>
      <c r="D47" s="17" t="s">
        <v>18</v>
      </c>
      <c r="E47">
        <f>(_xlfn.XMATCH(D47,Item[Item Code],0,))+1</f>
        <v>23</v>
      </c>
      <c r="M47" s="20"/>
      <c r="N47" s="20"/>
      <c r="O47" s="17" t="s">
        <v>0</v>
      </c>
      <c r="P47" s="17" t="s">
        <v>60</v>
      </c>
      <c r="Q47">
        <f>(_xlfn.XMATCH(P47,Item[Item Code],0,))+1</f>
        <v>14</v>
      </c>
      <c r="Y47" s="20"/>
      <c r="Z47" s="20"/>
      <c r="AA47" s="17" t="s">
        <v>0</v>
      </c>
      <c r="AB47" s="17" t="s">
        <v>75</v>
      </c>
      <c r="AC47">
        <f>(_xlfn.XMATCH(AB47,Item[Item Code],0,))+1</f>
        <v>19</v>
      </c>
      <c r="AK47" s="20"/>
      <c r="AL47" s="20"/>
      <c r="AM47" s="17" t="s">
        <v>0</v>
      </c>
      <c r="AN47" s="17" t="s">
        <v>46</v>
      </c>
      <c r="AO47">
        <f>(_xlfn.XMATCH(AN47,Item[Item Code],0,))+1</f>
        <v>12</v>
      </c>
      <c r="AW47" s="20"/>
      <c r="AX47" s="20"/>
      <c r="AY47" s="17" t="s">
        <v>0</v>
      </c>
      <c r="AZ47" s="17" t="s">
        <v>67</v>
      </c>
      <c r="BA47">
        <f>(_xlfn.XMATCH(AZ47,Item[Item Code],0,))+1</f>
        <v>17</v>
      </c>
      <c r="BI47" s="20"/>
      <c r="BJ47" s="20"/>
      <c r="BK47" s="17" t="s">
        <v>0</v>
      </c>
      <c r="BL47" s="17" t="s">
        <v>81</v>
      </c>
      <c r="BM47">
        <f>(_xlfn.XMATCH(BL47,Item[Item Code],0,))+1</f>
        <v>22</v>
      </c>
    </row>
    <row r="48" spans="1:72">
      <c r="A48" s="20"/>
      <c r="B48" s="20"/>
      <c r="C48" s="17" t="s">
        <v>5</v>
      </c>
      <c r="D48">
        <f>HLOOKUP(C48,Item[[#All],[Item Code]:[Lead Time]],E$47,)</f>
        <v>80</v>
      </c>
      <c r="M48" s="20"/>
      <c r="N48" s="20"/>
      <c r="O48" s="17" t="s">
        <v>5</v>
      </c>
      <c r="P48">
        <f>HLOOKUP(O48,Item[[#All],[Item Code]:[Lead Time]],Q$47,)</f>
        <v>170</v>
      </c>
      <c r="Y48" s="20"/>
      <c r="Z48" s="20"/>
      <c r="AA48" s="17" t="s">
        <v>5</v>
      </c>
      <c r="AB48">
        <f>HLOOKUP(AA48,Item[[#All],[Item Code]:[Lead Time]],AC$47,)</f>
        <v>130</v>
      </c>
      <c r="AK48" s="20"/>
      <c r="AL48" s="20"/>
      <c r="AM48" s="17" t="s">
        <v>5</v>
      </c>
      <c r="AN48">
        <f>HLOOKUP(AM48,Item[[#All],[Item Code]:[Lead Time]],AO$47,)</f>
        <v>180</v>
      </c>
      <c r="AW48" s="20"/>
      <c r="AX48" s="20"/>
      <c r="AY48" s="17" t="s">
        <v>5</v>
      </c>
      <c r="AZ48">
        <f>HLOOKUP(AY48,Item[[#All],[Item Code]:[Lead Time]],BA$47,)</f>
        <v>380</v>
      </c>
      <c r="BI48" s="20"/>
      <c r="BJ48" s="20"/>
      <c r="BK48" s="17" t="s">
        <v>5</v>
      </c>
      <c r="BL48">
        <f>HLOOKUP(BK48,Item[[#All],[Item Code]:[Lead Time]],BM$47,)</f>
        <v>90</v>
      </c>
    </row>
    <row r="49" spans="1:72">
      <c r="A49" s="20"/>
      <c r="B49" s="20"/>
      <c r="C49" s="17" t="s">
        <v>6</v>
      </c>
      <c r="D49">
        <f>HLOOKUP(C49,Item[[#All],[Item Code]:[Lead Time]],E$47,)</f>
        <v>30</v>
      </c>
      <c r="M49" s="20"/>
      <c r="N49" s="20"/>
      <c r="O49" s="17" t="s">
        <v>6</v>
      </c>
      <c r="P49">
        <f>HLOOKUP(O49,Item[[#All],[Item Code]:[Lead Time]],Q$47,)</f>
        <v>70</v>
      </c>
      <c r="Y49" s="20"/>
      <c r="Z49" s="20"/>
      <c r="AA49" s="17" t="s">
        <v>6</v>
      </c>
      <c r="AB49">
        <f>HLOOKUP(AA49,Item[[#All],[Item Code]:[Lead Time]],AC$47,)</f>
        <v>50</v>
      </c>
      <c r="AK49" s="20"/>
      <c r="AL49" s="20"/>
      <c r="AM49" s="17" t="s">
        <v>6</v>
      </c>
      <c r="AN49">
        <f>HLOOKUP(AM49,Item[[#All],[Item Code]:[Lead Time]],AO$47,)</f>
        <v>60</v>
      </c>
      <c r="AW49" s="20"/>
      <c r="AX49" s="20"/>
      <c r="AY49" s="17" t="s">
        <v>6</v>
      </c>
      <c r="AZ49">
        <f>HLOOKUP(AY49,Item[[#All],[Item Code]:[Lead Time]],BA$47,)</f>
        <v>120</v>
      </c>
      <c r="BI49" s="20"/>
      <c r="BJ49" s="20"/>
      <c r="BK49" s="17" t="s">
        <v>6</v>
      </c>
      <c r="BL49">
        <f>HLOOKUP(BK49,Item[[#All],[Item Code]:[Lead Time]],BM$47,)</f>
        <v>40</v>
      </c>
    </row>
    <row r="50" spans="1:72">
      <c r="A50" s="20"/>
      <c r="B50" s="20"/>
      <c r="C50" s="17" t="s">
        <v>8</v>
      </c>
      <c r="D50">
        <f>HLOOKUP(C50,Item[[#All],[Item Code]:[Lead Time]],E$47,)</f>
        <v>80</v>
      </c>
      <c r="M50" s="20"/>
      <c r="N50" s="20"/>
      <c r="O50" s="17" t="s">
        <v>8</v>
      </c>
      <c r="P50">
        <f>HLOOKUP(O50,Item[[#All],[Item Code]:[Lead Time]],Q$47,)</f>
        <v>200</v>
      </c>
      <c r="Y50" s="20"/>
      <c r="Z50" s="20"/>
      <c r="AA50" s="17" t="s">
        <v>8</v>
      </c>
      <c r="AB50">
        <f>HLOOKUP(AA50,Item[[#All],[Item Code]:[Lead Time]],AC$47,)</f>
        <v>150</v>
      </c>
      <c r="AK50" s="20"/>
      <c r="AL50" s="20"/>
      <c r="AM50" s="17" t="s">
        <v>8</v>
      </c>
      <c r="AN50">
        <f>HLOOKUP(AM50,Item[[#All],[Item Code]:[Lead Time]],AO$47,)</f>
        <v>0</v>
      </c>
      <c r="AW50" s="20"/>
      <c r="AX50" s="20"/>
      <c r="AY50" s="17" t="s">
        <v>8</v>
      </c>
      <c r="AZ50">
        <f>HLOOKUP(AY50,Item[[#All],[Item Code]:[Lead Time]],BA$47,)</f>
        <v>300</v>
      </c>
      <c r="BI50" s="20"/>
      <c r="BJ50" s="20"/>
      <c r="BK50" s="17" t="s">
        <v>8</v>
      </c>
      <c r="BL50">
        <f>HLOOKUP(BK50,Item[[#All],[Item Code]:[Lead Time]],BM$47,)</f>
        <v>100</v>
      </c>
    </row>
    <row r="51" spans="1:72">
      <c r="A51" s="20"/>
      <c r="B51" s="20"/>
      <c r="C51" s="17" t="s">
        <v>9</v>
      </c>
      <c r="D51">
        <f>HLOOKUP(C51,Item[[#All],[Item Code]:[Lead Time]],E$47,)</f>
        <v>1</v>
      </c>
      <c r="M51" s="20"/>
      <c r="N51" s="20"/>
      <c r="O51" s="17" t="s">
        <v>9</v>
      </c>
      <c r="P51">
        <f>HLOOKUP(O51,Item[[#All],[Item Code]:[Lead Time]],Q$47,)</f>
        <v>2</v>
      </c>
      <c r="Y51" s="20"/>
      <c r="Z51" s="20"/>
      <c r="AA51" s="17" t="s">
        <v>9</v>
      </c>
      <c r="AB51">
        <f>HLOOKUP(AA51,Item[[#All],[Item Code]:[Lead Time]],AC$47,)</f>
        <v>2</v>
      </c>
      <c r="AK51" s="20"/>
      <c r="AL51" s="20"/>
      <c r="AM51" s="17" t="s">
        <v>9</v>
      </c>
      <c r="AN51">
        <f>HLOOKUP(AM51,Item[[#All],[Item Code]:[Lead Time]],AO$47,)</f>
        <v>2</v>
      </c>
      <c r="AW51" s="20"/>
      <c r="AX51" s="20"/>
      <c r="AY51" s="17" t="s">
        <v>9</v>
      </c>
      <c r="AZ51">
        <f>HLOOKUP(AY51,Item[[#All],[Item Code]:[Lead Time]],BA$47,)</f>
        <v>1</v>
      </c>
      <c r="BI51" s="20"/>
      <c r="BJ51" s="20"/>
      <c r="BK51" s="17" t="s">
        <v>9</v>
      </c>
      <c r="BL51">
        <f>HLOOKUP(BK51,Item[[#All],[Item Code]:[Lead Time]],BM$47,)</f>
        <v>2</v>
      </c>
    </row>
    <row r="52" spans="1:72">
      <c r="A52" s="20"/>
      <c r="B52" s="20"/>
      <c r="C52" t="s">
        <v>90</v>
      </c>
      <c r="D52">
        <f>_xlfn.XLOOKUP(D47,BOM[Component Item],BOM[Quantity Per Assembly])</f>
        <v>1</v>
      </c>
      <c r="M52" s="20"/>
      <c r="N52" s="20"/>
      <c r="O52" t="s">
        <v>90</v>
      </c>
      <c r="P52">
        <f>_xlfn.XLOOKUP(P47,BOM[Component Item],BOM[Quantity Per Assembly])</f>
        <v>2</v>
      </c>
      <c r="Y52" s="20"/>
      <c r="Z52" s="20"/>
      <c r="AA52" t="s">
        <v>90</v>
      </c>
      <c r="AB52">
        <f>_xlfn.XLOOKUP(AB47,BOM[Component Item],BOM[Quantity Per Assembly])</f>
        <v>2</v>
      </c>
      <c r="AK52" s="20"/>
      <c r="AL52" s="20"/>
      <c r="AM52" t="s">
        <v>90</v>
      </c>
      <c r="AN52">
        <f>_xlfn.XLOOKUP(AN47,BOM[Component Item],BOM[Quantity Per Assembly])</f>
        <v>1</v>
      </c>
      <c r="AW52" s="20"/>
      <c r="AX52" s="20"/>
      <c r="AY52" t="s">
        <v>90</v>
      </c>
      <c r="AZ52">
        <f>_xlfn.XLOOKUP(AZ47,BOM[Component Item],BOM[Quantity Per Assembly])</f>
        <v>3</v>
      </c>
      <c r="BI52" s="20"/>
      <c r="BJ52" s="20"/>
      <c r="BK52" t="s">
        <v>90</v>
      </c>
      <c r="BL52">
        <f>_xlfn.XLOOKUP(BL47,BOM[Component Item],BOM[Quantity Per Assembly])</f>
        <v>1</v>
      </c>
    </row>
    <row r="53" spans="1:72">
      <c r="A53" s="20"/>
      <c r="B53" s="20"/>
      <c r="C53" t="s">
        <v>91</v>
      </c>
      <c r="D53" cm="1">
        <f t="array" ref="D53:L53">_xlfn.SEQUENCE(,9,0)</f>
        <v>0</v>
      </c>
      <c r="E53">
        <v>1</v>
      </c>
      <c r="F53">
        <v>2</v>
      </c>
      <c r="G53">
        <v>3</v>
      </c>
      <c r="H53">
        <v>4</v>
      </c>
      <c r="I53">
        <v>5</v>
      </c>
      <c r="J53">
        <v>6</v>
      </c>
      <c r="K53">
        <v>7</v>
      </c>
      <c r="L53">
        <v>8</v>
      </c>
      <c r="M53" s="20"/>
      <c r="N53" s="20"/>
      <c r="O53" t="s">
        <v>91</v>
      </c>
      <c r="P53" cm="1">
        <f t="array" ref="P53:X53">_xlfn.SEQUENCE(,9,0)</f>
        <v>0</v>
      </c>
      <c r="Q53">
        <v>1</v>
      </c>
      <c r="R53">
        <v>2</v>
      </c>
      <c r="S53">
        <v>3</v>
      </c>
      <c r="T53">
        <v>4</v>
      </c>
      <c r="U53">
        <v>5</v>
      </c>
      <c r="V53">
        <v>6</v>
      </c>
      <c r="W53">
        <v>7</v>
      </c>
      <c r="X53">
        <v>8</v>
      </c>
      <c r="Y53" s="20"/>
      <c r="Z53" s="20"/>
      <c r="AA53" t="s">
        <v>91</v>
      </c>
      <c r="AB53" cm="1">
        <f t="array" ref="AB53:AJ53">_xlfn.SEQUENCE(,9,0)</f>
        <v>0</v>
      </c>
      <c r="AC53">
        <v>1</v>
      </c>
      <c r="AD53">
        <v>2</v>
      </c>
      <c r="AE53">
        <v>3</v>
      </c>
      <c r="AF53">
        <v>4</v>
      </c>
      <c r="AG53">
        <v>5</v>
      </c>
      <c r="AH53">
        <v>6</v>
      </c>
      <c r="AI53">
        <v>7</v>
      </c>
      <c r="AJ53">
        <v>8</v>
      </c>
      <c r="AK53" s="20"/>
      <c r="AL53" s="20"/>
      <c r="AM53" t="s">
        <v>91</v>
      </c>
      <c r="AN53" cm="1">
        <f t="array" ref="AN53:AV53">_xlfn.SEQUENCE(,9,0)</f>
        <v>0</v>
      </c>
      <c r="AO53">
        <v>1</v>
      </c>
      <c r="AP53">
        <v>2</v>
      </c>
      <c r="AQ53">
        <v>3</v>
      </c>
      <c r="AR53">
        <v>4</v>
      </c>
      <c r="AS53">
        <v>5</v>
      </c>
      <c r="AT53">
        <v>6</v>
      </c>
      <c r="AU53">
        <v>7</v>
      </c>
      <c r="AV53">
        <v>8</v>
      </c>
      <c r="AW53" s="20"/>
      <c r="AX53" s="20"/>
      <c r="AY53" t="s">
        <v>91</v>
      </c>
      <c r="AZ53" cm="1">
        <f t="array" ref="AZ53:BH53">_xlfn.SEQUENCE(,9,0)</f>
        <v>0</v>
      </c>
      <c r="BA53">
        <v>1</v>
      </c>
      <c r="BB53">
        <v>2</v>
      </c>
      <c r="BC53">
        <v>3</v>
      </c>
      <c r="BD53">
        <v>4</v>
      </c>
      <c r="BE53">
        <v>5</v>
      </c>
      <c r="BF53">
        <v>6</v>
      </c>
      <c r="BG53">
        <v>7</v>
      </c>
      <c r="BH53">
        <v>8</v>
      </c>
      <c r="BI53" s="20"/>
      <c r="BJ53" s="20"/>
      <c r="BK53" t="s">
        <v>91</v>
      </c>
      <c r="BL53" cm="1">
        <f t="array" ref="BL53:BT53">_xlfn.SEQUENCE(,9,0)</f>
        <v>0</v>
      </c>
      <c r="BM53">
        <v>1</v>
      </c>
      <c r="BN53">
        <v>2</v>
      </c>
      <c r="BO53">
        <v>3</v>
      </c>
      <c r="BP53">
        <v>4</v>
      </c>
      <c r="BQ53">
        <v>5</v>
      </c>
      <c r="BR53">
        <v>6</v>
      </c>
      <c r="BS53">
        <v>7</v>
      </c>
      <c r="BT53">
        <v>8</v>
      </c>
    </row>
    <row r="54" spans="1:72">
      <c r="A54" s="20"/>
      <c r="B54" s="20"/>
      <c r="C54" t="s">
        <v>89</v>
      </c>
      <c r="D54">
        <f>D39</f>
        <v>0</v>
      </c>
      <c r="E54">
        <f t="shared" ref="E54:L54" si="136">E39</f>
        <v>0</v>
      </c>
      <c r="F54">
        <f t="shared" si="136"/>
        <v>100</v>
      </c>
      <c r="G54">
        <f t="shared" si="136"/>
        <v>100</v>
      </c>
      <c r="H54">
        <f t="shared" si="136"/>
        <v>100</v>
      </c>
      <c r="I54">
        <f t="shared" si="136"/>
        <v>100</v>
      </c>
      <c r="J54">
        <f t="shared" si="136"/>
        <v>200</v>
      </c>
      <c r="K54">
        <f t="shared" si="136"/>
        <v>0</v>
      </c>
      <c r="L54">
        <f t="shared" si="136"/>
        <v>0</v>
      </c>
      <c r="M54" s="20"/>
      <c r="N54" s="20"/>
      <c r="O54" t="s">
        <v>89</v>
      </c>
      <c r="Q54" cm="1">
        <f t="array" ref="Q54:X54">($Q$14:$X$14)*P52</f>
        <v>0</v>
      </c>
      <c r="R54">
        <v>200</v>
      </c>
      <c r="S54">
        <v>200</v>
      </c>
      <c r="T54">
        <v>200</v>
      </c>
      <c r="U54">
        <v>200</v>
      </c>
      <c r="V54">
        <v>400</v>
      </c>
      <c r="W54">
        <v>200</v>
      </c>
      <c r="X54">
        <v>0</v>
      </c>
      <c r="Y54" s="20"/>
      <c r="Z54" s="20"/>
      <c r="AA54" t="s">
        <v>89</v>
      </c>
      <c r="AC54" cm="1">
        <f t="array" ref="AC54:AJ54">$AC$14:$AJ$14*AB52</f>
        <v>0</v>
      </c>
      <c r="AD54">
        <v>160</v>
      </c>
      <c r="AE54">
        <v>160</v>
      </c>
      <c r="AF54">
        <v>320</v>
      </c>
      <c r="AG54">
        <v>160</v>
      </c>
      <c r="AH54">
        <v>320</v>
      </c>
      <c r="AI54">
        <v>160</v>
      </c>
      <c r="AJ54">
        <v>0</v>
      </c>
      <c r="AK54" s="20"/>
      <c r="AL54" s="20"/>
      <c r="AM54" t="s">
        <v>89</v>
      </c>
      <c r="AO54" cm="1">
        <f t="array" ref="AO54:AV54">$AO$14:$AV$14*AN52</f>
        <v>0</v>
      </c>
      <c r="AP54">
        <v>80</v>
      </c>
      <c r="AQ54">
        <v>160</v>
      </c>
      <c r="AR54">
        <v>0</v>
      </c>
      <c r="AS54">
        <v>160</v>
      </c>
      <c r="AT54">
        <v>0</v>
      </c>
      <c r="AU54">
        <v>0</v>
      </c>
      <c r="AV54">
        <v>0</v>
      </c>
      <c r="AW54" s="20"/>
      <c r="AX54" s="20"/>
      <c r="AY54" t="s">
        <v>89</v>
      </c>
      <c r="BA54" cm="1">
        <f t="array" ref="BA54:BH54">$BA$14:$BH$14*AZ52</f>
        <v>180</v>
      </c>
      <c r="BB54">
        <v>180</v>
      </c>
      <c r="BC54">
        <v>360</v>
      </c>
      <c r="BD54">
        <v>180</v>
      </c>
      <c r="BE54">
        <v>720</v>
      </c>
      <c r="BF54">
        <v>180</v>
      </c>
      <c r="BG54">
        <v>0</v>
      </c>
      <c r="BH54">
        <v>0</v>
      </c>
      <c r="BI54" s="20"/>
      <c r="BJ54" s="20"/>
      <c r="BK54" t="s">
        <v>89</v>
      </c>
      <c r="BM54" cm="1">
        <f t="array" ref="BM54:BR54">$BM$14:$BR$14*BL52</f>
        <v>60</v>
      </c>
      <c r="BN54">
        <v>60</v>
      </c>
      <c r="BO54">
        <v>120</v>
      </c>
      <c r="BP54">
        <v>120</v>
      </c>
      <c r="BQ54">
        <v>120</v>
      </c>
      <c r="BR54">
        <v>120</v>
      </c>
    </row>
    <row r="55" spans="1:72">
      <c r="A55" s="20"/>
      <c r="B55" s="20"/>
      <c r="C55" t="s">
        <v>28</v>
      </c>
      <c r="F55">
        <v>80</v>
      </c>
      <c r="I55">
        <v>80</v>
      </c>
      <c r="M55" s="20"/>
      <c r="N55" s="20"/>
      <c r="O55" t="s">
        <v>28</v>
      </c>
      <c r="T55">
        <v>200</v>
      </c>
      <c r="Y55" s="20"/>
      <c r="Z55" s="20"/>
      <c r="AA55" t="s">
        <v>28</v>
      </c>
      <c r="AF55">
        <v>150</v>
      </c>
      <c r="AK55" s="20"/>
      <c r="AL55" s="20"/>
      <c r="AM55" t="s">
        <v>28</v>
      </c>
      <c r="AS55">
        <v>160</v>
      </c>
      <c r="AW55" s="20"/>
      <c r="AX55" s="20"/>
      <c r="AY55" t="s">
        <v>28</v>
      </c>
      <c r="BI55" s="20"/>
      <c r="BJ55" s="20"/>
      <c r="BK55" t="s">
        <v>28</v>
      </c>
    </row>
    <row r="56" spans="1:72">
      <c r="A56" s="20"/>
      <c r="B56" s="20"/>
      <c r="C56" s="17" t="s">
        <v>94</v>
      </c>
      <c r="D56">
        <f>D48</f>
        <v>80</v>
      </c>
      <c r="E56">
        <f>D56+E58+E55+-E54</f>
        <v>80</v>
      </c>
      <c r="F56">
        <f t="shared" ref="F56" si="137">E56+F58+F55+-F54</f>
        <v>60</v>
      </c>
      <c r="G56">
        <f t="shared" ref="G56" si="138">F56+G58+G55+-G54</f>
        <v>40</v>
      </c>
      <c r="H56">
        <f>G56+H58+H55+-H54</f>
        <v>100</v>
      </c>
      <c r="I56">
        <f t="shared" ref="I56" si="139">H56+I58+I55+-I54</f>
        <v>80</v>
      </c>
      <c r="J56">
        <f t="shared" ref="J56" si="140">I56+J58+J55+-J54</f>
        <v>40</v>
      </c>
      <c r="K56">
        <f t="shared" ref="K56" si="141">J56+K58+K55+-K54</f>
        <v>40</v>
      </c>
      <c r="L56">
        <f t="shared" ref="L56" si="142">K56+L58+L55+-L54</f>
        <v>40</v>
      </c>
      <c r="M56" s="20"/>
      <c r="N56" s="20"/>
      <c r="O56" s="17" t="s">
        <v>94</v>
      </c>
      <c r="P56">
        <f>P48</f>
        <v>170</v>
      </c>
      <c r="Q56">
        <f>P56+Q58+Q55+-Q54</f>
        <v>170</v>
      </c>
      <c r="R56">
        <f t="shared" ref="R56" si="143">Q56+R58+R55+-R54</f>
        <v>170</v>
      </c>
      <c r="S56">
        <f t="shared" ref="S56" si="144">R56+S58+S55+-S54</f>
        <v>170</v>
      </c>
      <c r="T56">
        <f>S56+T58+T55+-T54</f>
        <v>170</v>
      </c>
      <c r="U56">
        <f t="shared" ref="U56" si="145">T56+U58+U55+-U54</f>
        <v>170</v>
      </c>
      <c r="V56">
        <f t="shared" ref="V56" si="146">U56+V58+V55+-V54</f>
        <v>170</v>
      </c>
      <c r="W56">
        <f t="shared" ref="W56" si="147">V56+W58+W55+-W54</f>
        <v>170</v>
      </c>
      <c r="X56">
        <f t="shared" ref="X56" si="148">W56+X58+X55+-X54</f>
        <v>170</v>
      </c>
      <c r="Y56" s="20"/>
      <c r="Z56" s="20"/>
      <c r="AA56" s="17" t="s">
        <v>94</v>
      </c>
      <c r="AB56">
        <f>AB48</f>
        <v>130</v>
      </c>
      <c r="AC56">
        <f>AB56+AC58+AC55+-AC54</f>
        <v>130</v>
      </c>
      <c r="AD56">
        <f t="shared" ref="AD56" si="149">AC56+AD58+AD55+-AD54</f>
        <v>120</v>
      </c>
      <c r="AE56">
        <f t="shared" ref="AE56" si="150">AD56+AE58+AE55+-AE54</f>
        <v>110</v>
      </c>
      <c r="AF56">
        <f t="shared" ref="AF56" si="151">AE56+AF58+AF55+-AF54</f>
        <v>90</v>
      </c>
      <c r="AG56">
        <f t="shared" ref="AG56" si="152">AF56+AG58+AG55+-AG54</f>
        <v>80</v>
      </c>
      <c r="AH56">
        <f t="shared" ref="AH56" si="153">AG56+AH58+AH55+-AH54</f>
        <v>60</v>
      </c>
      <c r="AI56">
        <f t="shared" ref="AI56" si="154">AH56+AI58+AI55+-AI54</f>
        <v>50</v>
      </c>
      <c r="AJ56">
        <f t="shared" ref="AJ56" si="155">AI56+AJ58+AJ55+-AJ54</f>
        <v>50</v>
      </c>
      <c r="AK56" s="20"/>
      <c r="AL56" s="20"/>
      <c r="AM56" s="17" t="s">
        <v>94</v>
      </c>
      <c r="AN56">
        <f>AN48</f>
        <v>180</v>
      </c>
      <c r="AO56">
        <f>AN56+AO58+AO55+-AO54</f>
        <v>180</v>
      </c>
      <c r="AP56">
        <f t="shared" ref="AP56" si="156">AO56+AP58+AP55+-AP54</f>
        <v>100</v>
      </c>
      <c r="AQ56">
        <f t="shared" ref="AQ56" si="157">AP56+AQ58+AQ55+-AQ54</f>
        <v>60</v>
      </c>
      <c r="AR56">
        <f t="shared" ref="AR56" si="158">AQ56+AR58+AR55+-AR54</f>
        <v>60</v>
      </c>
      <c r="AS56">
        <f t="shared" ref="AS56" si="159">AR56+AS58+AS55+-AS54</f>
        <v>60</v>
      </c>
      <c r="AT56">
        <f t="shared" ref="AT56" si="160">AS56+AT58+AT55+-AT54</f>
        <v>60</v>
      </c>
      <c r="AU56">
        <f t="shared" ref="AU56" si="161">AT56+AU58+AU55+-AU54</f>
        <v>60</v>
      </c>
      <c r="AV56">
        <f t="shared" ref="AV56" si="162">AU56+AV58+AV55+-AV54</f>
        <v>60</v>
      </c>
      <c r="AW56" s="20"/>
      <c r="AX56" s="20"/>
      <c r="AY56" s="17" t="s">
        <v>94</v>
      </c>
      <c r="AZ56">
        <f>AZ48</f>
        <v>380</v>
      </c>
      <c r="BA56">
        <f>AZ56+BA58+BA55+-BA54</f>
        <v>200</v>
      </c>
      <c r="BB56">
        <f t="shared" ref="BB56" si="163">BA56+BB58+BB55+-BB54</f>
        <v>320</v>
      </c>
      <c r="BC56">
        <f t="shared" ref="BC56" si="164">BB56+BC58+BC55+-BC54</f>
        <v>260</v>
      </c>
      <c r="BD56">
        <f t="shared" ref="BD56" si="165">BC56+BD58+BD55+-BD54</f>
        <v>380</v>
      </c>
      <c r="BE56">
        <f t="shared" ref="BE56" si="166">BD56+BE58+BE55+-BE54</f>
        <v>260</v>
      </c>
      <c r="BF56">
        <f t="shared" ref="BF56" si="167">BE56+BF58+BF55+-BF54</f>
        <v>380</v>
      </c>
      <c r="BG56">
        <f t="shared" ref="BG56" si="168">BF56+BG58+BG55+-BG54</f>
        <v>380</v>
      </c>
      <c r="BH56">
        <f t="shared" ref="BH56" si="169">BG56+BH58+BH55+-BH54</f>
        <v>380</v>
      </c>
      <c r="BI56" s="20"/>
      <c r="BJ56" s="20"/>
      <c r="BK56" s="17" t="s">
        <v>94</v>
      </c>
      <c r="BL56">
        <f>BL48</f>
        <v>90</v>
      </c>
      <c r="BM56">
        <f>BL56+BM58+BM55+-BM54</f>
        <v>30</v>
      </c>
      <c r="BN56">
        <f t="shared" ref="BN56" si="170">BM56+BN58+BN55+-BN54</f>
        <v>70</v>
      </c>
      <c r="BO56">
        <f t="shared" ref="BO56" si="171">BN56+BO58+BO55+-BO54</f>
        <v>50</v>
      </c>
      <c r="BP56">
        <f t="shared" ref="BP56" si="172">BO56+BP58+BP55+-BP54</f>
        <v>130</v>
      </c>
      <c r="BQ56">
        <f t="shared" ref="BQ56" si="173">BP56+BQ58+BQ55+-BQ54</f>
        <v>110</v>
      </c>
      <c r="BR56">
        <f t="shared" ref="BR56" si="174">BQ56+BR58+BR55+-BR54</f>
        <v>90</v>
      </c>
      <c r="BS56">
        <f t="shared" ref="BS56" si="175">BR56+BS58+BS55+-BS54</f>
        <v>90</v>
      </c>
      <c r="BT56">
        <f t="shared" ref="BT56" si="176">BS56+BT58+BT55+-BT54</f>
        <v>90</v>
      </c>
    </row>
    <row r="57" spans="1:72">
      <c r="A57" s="20"/>
      <c r="B57" s="20"/>
      <c r="C57" s="17" t="s">
        <v>95</v>
      </c>
      <c r="E57">
        <f>IF(E54+$D$49-E55-D56&lt;0, 0,E54+$D$49-E55-D56)</f>
        <v>0</v>
      </c>
      <c r="F57">
        <f t="shared" ref="F57:L57" si="177">IF(F54+$D$49-F55-E56&lt;0, 0,F54+$D$49-F55-E56)</f>
        <v>0</v>
      </c>
      <c r="G57">
        <f t="shared" si="177"/>
        <v>70</v>
      </c>
      <c r="H57">
        <f t="shared" si="177"/>
        <v>90</v>
      </c>
      <c r="I57">
        <f t="shared" si="177"/>
        <v>0</v>
      </c>
      <c r="J57">
        <f t="shared" si="177"/>
        <v>150</v>
      </c>
      <c r="K57">
        <f t="shared" si="177"/>
        <v>0</v>
      </c>
      <c r="L57">
        <f t="shared" si="177"/>
        <v>0</v>
      </c>
      <c r="M57" s="20"/>
      <c r="N57" s="20"/>
      <c r="O57" s="17" t="s">
        <v>95</v>
      </c>
      <c r="Q57">
        <f>IF(Q54+$P$49-Q55-P56&lt;0, 0,Q54+$P$49-Q55-P56)</f>
        <v>0</v>
      </c>
      <c r="R57">
        <f t="shared" ref="R57:X57" si="178">IF(R54+$P$49-R55-Q56&lt;0, 0,R54+$P$49-R55-Q56)</f>
        <v>100</v>
      </c>
      <c r="S57">
        <f t="shared" si="178"/>
        <v>100</v>
      </c>
      <c r="T57">
        <f t="shared" si="178"/>
        <v>0</v>
      </c>
      <c r="U57">
        <f t="shared" si="178"/>
        <v>100</v>
      </c>
      <c r="V57">
        <f t="shared" si="178"/>
        <v>300</v>
      </c>
      <c r="W57">
        <f t="shared" si="178"/>
        <v>100</v>
      </c>
      <c r="X57">
        <f t="shared" si="178"/>
        <v>0</v>
      </c>
      <c r="Y57" s="20"/>
      <c r="Z57" s="20"/>
      <c r="AA57" s="17" t="s">
        <v>95</v>
      </c>
      <c r="AC57">
        <f>IF(AC54+$AB$49-AC55-AB56&lt;0, 0,AC54+$AB$49-AC55-AB56)</f>
        <v>0</v>
      </c>
      <c r="AD57">
        <f t="shared" ref="AD57:AJ57" si="179">IF(AD54+$AB$49-AD55-AC56&lt;0, 0,AD54+$AB$49-AD55-AC56)</f>
        <v>80</v>
      </c>
      <c r="AE57">
        <f t="shared" si="179"/>
        <v>90</v>
      </c>
      <c r="AF57">
        <f t="shared" si="179"/>
        <v>110</v>
      </c>
      <c r="AG57">
        <f t="shared" si="179"/>
        <v>120</v>
      </c>
      <c r="AH57">
        <f t="shared" si="179"/>
        <v>290</v>
      </c>
      <c r="AI57">
        <f t="shared" si="179"/>
        <v>150</v>
      </c>
      <c r="AJ57">
        <f t="shared" si="179"/>
        <v>0</v>
      </c>
      <c r="AK57" s="20"/>
      <c r="AL57" s="20"/>
      <c r="AM57" s="17" t="s">
        <v>95</v>
      </c>
      <c r="AO57">
        <f>IF(AO54+$AN$49-AO55-AN56&lt;0, 0,AO54+$AN$49-AO55-AN56)</f>
        <v>0</v>
      </c>
      <c r="AP57">
        <f t="shared" ref="AP57:AV57" si="180">IF(AP54+$AN$49-AP55-AO56&lt;0, 0,AP54+$AN$49-AP55-AO56)</f>
        <v>0</v>
      </c>
      <c r="AQ57">
        <f t="shared" si="180"/>
        <v>120</v>
      </c>
      <c r="AR57">
        <f t="shared" si="180"/>
        <v>0</v>
      </c>
      <c r="AS57">
        <f t="shared" si="180"/>
        <v>0</v>
      </c>
      <c r="AT57">
        <f t="shared" si="180"/>
        <v>0</v>
      </c>
      <c r="AU57">
        <f t="shared" si="180"/>
        <v>0</v>
      </c>
      <c r="AV57">
        <f t="shared" si="180"/>
        <v>0</v>
      </c>
      <c r="AW57" s="20"/>
      <c r="AX57" s="20"/>
      <c r="AY57" s="17" t="s">
        <v>95</v>
      </c>
      <c r="BA57">
        <f>IF(BA54+$AZ$34-BA55-AZ56&lt;0, 0,BA54+$AZ$34-BA55-AZ56)</f>
        <v>0</v>
      </c>
      <c r="BB57">
        <f t="shared" ref="BB57:BH57" si="181">IF(BB54+$AZ$34-BB55-BA56&lt;0, 0,BB54+$AZ$34-BB55-BA56)</f>
        <v>130</v>
      </c>
      <c r="BC57">
        <f t="shared" si="181"/>
        <v>190</v>
      </c>
      <c r="BD57">
        <f t="shared" si="181"/>
        <v>70</v>
      </c>
      <c r="BE57">
        <f t="shared" si="181"/>
        <v>490</v>
      </c>
      <c r="BF57">
        <f t="shared" si="181"/>
        <v>70</v>
      </c>
      <c r="BG57">
        <f t="shared" si="181"/>
        <v>0</v>
      </c>
      <c r="BH57">
        <f t="shared" si="181"/>
        <v>0</v>
      </c>
      <c r="BI57" s="20"/>
      <c r="BJ57" s="20"/>
      <c r="BK57" s="17" t="s">
        <v>95</v>
      </c>
      <c r="BM57">
        <f>IF(BM54+$BL$49-BM55-BL56&lt;0, 0,BM54+$BL$49-BM55-BL56)</f>
        <v>10</v>
      </c>
      <c r="BN57">
        <f t="shared" ref="BN57:BT57" si="182">IF(BN54+$BL$49-BN55-BM56&lt;0, 0,BN54+$BL$49-BN55-BM56)</f>
        <v>70</v>
      </c>
      <c r="BO57">
        <f t="shared" si="182"/>
        <v>90</v>
      </c>
      <c r="BP57">
        <f t="shared" si="182"/>
        <v>110</v>
      </c>
      <c r="BQ57">
        <f t="shared" si="182"/>
        <v>30</v>
      </c>
      <c r="BR57">
        <f t="shared" si="182"/>
        <v>50</v>
      </c>
      <c r="BS57">
        <f t="shared" si="182"/>
        <v>0</v>
      </c>
      <c r="BT57">
        <f t="shared" si="182"/>
        <v>0</v>
      </c>
    </row>
    <row r="58" spans="1:72">
      <c r="A58" s="20"/>
      <c r="B58" s="20"/>
      <c r="C58" t="s">
        <v>92</v>
      </c>
      <c r="E58">
        <f>D59</f>
        <v>0</v>
      </c>
      <c r="F58">
        <f t="shared" ref="F58:L58" si="183">E59</f>
        <v>0</v>
      </c>
      <c r="G58">
        <f t="shared" si="183"/>
        <v>80</v>
      </c>
      <c r="H58">
        <f t="shared" si="183"/>
        <v>160</v>
      </c>
      <c r="I58">
        <f t="shared" si="183"/>
        <v>0</v>
      </c>
      <c r="J58">
        <f t="shared" si="183"/>
        <v>160</v>
      </c>
      <c r="K58">
        <f t="shared" si="183"/>
        <v>0</v>
      </c>
      <c r="L58">
        <f t="shared" si="183"/>
        <v>0</v>
      </c>
      <c r="M58" s="20"/>
      <c r="N58" s="20"/>
      <c r="O58" t="s">
        <v>92</v>
      </c>
      <c r="Q58">
        <f>P59</f>
        <v>0</v>
      </c>
      <c r="R58">
        <f t="shared" ref="R58:X58" si="184">Q59</f>
        <v>200</v>
      </c>
      <c r="S58">
        <f t="shared" si="184"/>
        <v>200</v>
      </c>
      <c r="T58">
        <f t="shared" si="184"/>
        <v>0</v>
      </c>
      <c r="U58">
        <f t="shared" si="184"/>
        <v>200</v>
      </c>
      <c r="V58">
        <f t="shared" si="184"/>
        <v>400</v>
      </c>
      <c r="W58">
        <f t="shared" si="184"/>
        <v>200</v>
      </c>
      <c r="X58">
        <f t="shared" si="184"/>
        <v>0</v>
      </c>
      <c r="Y58" s="20"/>
      <c r="Z58" s="20"/>
      <c r="AA58" t="s">
        <v>92</v>
      </c>
      <c r="AD58">
        <f>AB59</f>
        <v>150</v>
      </c>
      <c r="AE58">
        <f t="shared" ref="AE58:AJ58" si="185">AC59</f>
        <v>150</v>
      </c>
      <c r="AF58">
        <f t="shared" si="185"/>
        <v>150</v>
      </c>
      <c r="AG58">
        <f t="shared" si="185"/>
        <v>150</v>
      </c>
      <c r="AH58">
        <f t="shared" si="185"/>
        <v>300</v>
      </c>
      <c r="AI58">
        <f t="shared" si="185"/>
        <v>150</v>
      </c>
      <c r="AJ58">
        <f t="shared" si="185"/>
        <v>0</v>
      </c>
      <c r="AK58" s="20"/>
      <c r="AL58" s="20"/>
      <c r="AM58" t="s">
        <v>92</v>
      </c>
      <c r="AP58">
        <f>AN59</f>
        <v>0</v>
      </c>
      <c r="AQ58">
        <f t="shared" ref="AQ58:AV58" si="186">AO59</f>
        <v>120</v>
      </c>
      <c r="AR58">
        <f t="shared" si="186"/>
        <v>0</v>
      </c>
      <c r="AS58">
        <f t="shared" si="186"/>
        <v>0</v>
      </c>
      <c r="AT58">
        <f t="shared" si="186"/>
        <v>0</v>
      </c>
      <c r="AU58">
        <f t="shared" si="186"/>
        <v>0</v>
      </c>
      <c r="AV58">
        <f t="shared" si="186"/>
        <v>0</v>
      </c>
      <c r="AW58" s="20"/>
      <c r="AX58" s="20"/>
      <c r="AY58" t="s">
        <v>92</v>
      </c>
      <c r="BA58">
        <f>AZ59</f>
        <v>0</v>
      </c>
      <c r="BB58">
        <f t="shared" ref="BB58:BH58" si="187">BA59</f>
        <v>300</v>
      </c>
      <c r="BC58">
        <f t="shared" si="187"/>
        <v>300</v>
      </c>
      <c r="BD58">
        <f t="shared" si="187"/>
        <v>300</v>
      </c>
      <c r="BE58">
        <f t="shared" si="187"/>
        <v>600</v>
      </c>
      <c r="BF58">
        <f t="shared" si="187"/>
        <v>300</v>
      </c>
      <c r="BG58">
        <f t="shared" si="187"/>
        <v>0</v>
      </c>
      <c r="BH58">
        <f t="shared" si="187"/>
        <v>0</v>
      </c>
      <c r="BI58" s="20"/>
      <c r="BJ58" s="20"/>
      <c r="BK58" t="s">
        <v>92</v>
      </c>
      <c r="BN58">
        <f>BL59</f>
        <v>100</v>
      </c>
      <c r="BO58">
        <f t="shared" ref="BO58:BT58" si="188">BM59</f>
        <v>100</v>
      </c>
      <c r="BP58">
        <f t="shared" si="188"/>
        <v>200</v>
      </c>
      <c r="BQ58">
        <f t="shared" si="188"/>
        <v>100</v>
      </c>
      <c r="BR58">
        <f t="shared" si="188"/>
        <v>100</v>
      </c>
      <c r="BS58">
        <f t="shared" si="188"/>
        <v>0</v>
      </c>
      <c r="BT58">
        <f t="shared" si="188"/>
        <v>0</v>
      </c>
    </row>
    <row r="59" spans="1:72">
      <c r="A59" s="20"/>
      <c r="B59" s="20"/>
      <c r="C59" t="s">
        <v>93</v>
      </c>
      <c r="F59">
        <v>80</v>
      </c>
      <c r="G59">
        <v>160</v>
      </c>
      <c r="I59">
        <v>160</v>
      </c>
      <c r="M59" s="20"/>
      <c r="N59" s="20"/>
      <c r="O59" t="s">
        <v>93</v>
      </c>
      <c r="Q59">
        <v>200</v>
      </c>
      <c r="R59">
        <v>200</v>
      </c>
      <c r="T59">
        <v>200</v>
      </c>
      <c r="U59">
        <v>400</v>
      </c>
      <c r="V59">
        <v>200</v>
      </c>
      <c r="Y59" s="20"/>
      <c r="Z59" s="20"/>
      <c r="AA59" t="s">
        <v>93</v>
      </c>
      <c r="AB59">
        <v>150</v>
      </c>
      <c r="AC59">
        <v>150</v>
      </c>
      <c r="AD59">
        <v>150</v>
      </c>
      <c r="AE59">
        <v>150</v>
      </c>
      <c r="AF59">
        <v>300</v>
      </c>
      <c r="AG59">
        <v>150</v>
      </c>
      <c r="AK59" s="20"/>
      <c r="AL59" s="20"/>
      <c r="AM59" t="s">
        <v>93</v>
      </c>
      <c r="AO59">
        <v>120</v>
      </c>
      <c r="AW59" s="20"/>
      <c r="AX59" s="20"/>
      <c r="AY59" t="s">
        <v>93</v>
      </c>
      <c r="BA59">
        <v>300</v>
      </c>
      <c r="BB59">
        <v>300</v>
      </c>
      <c r="BC59">
        <v>300</v>
      </c>
      <c r="BD59">
        <v>600</v>
      </c>
      <c r="BE59">
        <v>300</v>
      </c>
      <c r="BI59" s="20"/>
      <c r="BJ59" s="20"/>
      <c r="BK59" t="s">
        <v>93</v>
      </c>
      <c r="BL59">
        <v>100</v>
      </c>
      <c r="BM59">
        <v>100</v>
      </c>
      <c r="BN59">
        <v>200</v>
      </c>
      <c r="BO59">
        <v>100</v>
      </c>
      <c r="BP59">
        <v>100</v>
      </c>
    </row>
    <row r="60" spans="1:72">
      <c r="A60" s="20"/>
      <c r="B60" s="20"/>
      <c r="M60" s="20"/>
      <c r="N60" s="20"/>
      <c r="Y60" s="20"/>
      <c r="Z60" s="20"/>
      <c r="AK60" s="20"/>
      <c r="AL60" s="20"/>
      <c r="AW60" s="20"/>
      <c r="AX60" s="20"/>
      <c r="BI60" s="20"/>
      <c r="BJ60" s="20"/>
    </row>
    <row r="61" spans="1:72">
      <c r="A61" s="20"/>
      <c r="B61" s="20"/>
      <c r="M61" s="20"/>
      <c r="N61" s="20"/>
      <c r="Y61" s="20"/>
      <c r="Z61" s="20"/>
      <c r="AK61" s="20"/>
      <c r="AL61" s="20"/>
      <c r="AW61" s="20"/>
      <c r="AX61" s="20"/>
      <c r="BI61" s="20"/>
      <c r="BJ61" s="20"/>
    </row>
    <row r="62" spans="1:72">
      <c r="A62" s="20"/>
      <c r="B62" s="20"/>
      <c r="C62" s="17" t="s">
        <v>0</v>
      </c>
      <c r="D62" s="17" t="s">
        <v>49</v>
      </c>
      <c r="E62">
        <f>(_xlfn.XMATCH(D62,Item[Item Code],0,))+1</f>
        <v>5</v>
      </c>
      <c r="M62" s="20"/>
      <c r="N62" s="20"/>
      <c r="O62" s="17" t="s">
        <v>0</v>
      </c>
      <c r="P62" s="17" t="s">
        <v>55</v>
      </c>
      <c r="Q62">
        <f>(_xlfn.XMATCH(P62,Item[Item Code],0,))+1</f>
        <v>24</v>
      </c>
      <c r="Y62" s="20"/>
      <c r="Z62" s="20"/>
      <c r="AA62" s="17" t="s">
        <v>0</v>
      </c>
      <c r="AB62" s="17" t="s">
        <v>71</v>
      </c>
      <c r="AC62">
        <f>(_xlfn.XMATCH(AB62,Item[Item Code],0,))+1</f>
        <v>25</v>
      </c>
      <c r="AK62" s="20"/>
      <c r="AL62" s="20"/>
      <c r="AW62" s="20"/>
      <c r="AX62" s="20"/>
      <c r="BI62" s="20"/>
      <c r="BJ62" s="20"/>
    </row>
    <row r="63" spans="1:72">
      <c r="A63" s="20"/>
      <c r="B63" s="20"/>
      <c r="C63" s="17" t="s">
        <v>5</v>
      </c>
      <c r="D63">
        <f>HLOOKUP(C63,Item[[#All],[Item Code]:[Lead Time]],E$62,)</f>
        <v>150</v>
      </c>
      <c r="M63" s="20"/>
      <c r="N63" s="20"/>
      <c r="O63" s="17" t="s">
        <v>5</v>
      </c>
      <c r="P63">
        <f>HLOOKUP(O63,Item[[#All],[Item Code]:[Lead Time]],Q$62,)</f>
        <v>70</v>
      </c>
      <c r="Y63" s="20"/>
      <c r="Z63" s="20"/>
      <c r="AA63" s="17" t="s">
        <v>5</v>
      </c>
      <c r="AB63">
        <f>HLOOKUP(AA63,Item[[#All],[Item Code]:[Lead Time]],AC$62,)</f>
        <v>55</v>
      </c>
      <c r="AK63" s="20"/>
      <c r="AL63" s="20"/>
      <c r="AW63" s="20"/>
      <c r="AX63" s="20"/>
      <c r="BI63" s="20"/>
      <c r="BJ63" s="20"/>
    </row>
    <row r="64" spans="1:72">
      <c r="A64" s="20"/>
      <c r="B64" s="20"/>
      <c r="C64" s="17" t="s">
        <v>6</v>
      </c>
      <c r="D64">
        <f>HLOOKUP(C64,Item[[#All],[Item Code]:[Lead Time]],E$62,)</f>
        <v>50</v>
      </c>
      <c r="M64" s="20"/>
      <c r="N64" s="20"/>
      <c r="O64" s="17" t="s">
        <v>6</v>
      </c>
      <c r="P64">
        <f>HLOOKUP(O64,Item[[#All],[Item Code]:[Lead Time]],Q$62,)</f>
        <v>25</v>
      </c>
      <c r="Y64" s="20"/>
      <c r="Z64" s="20"/>
      <c r="AA64" s="17" t="s">
        <v>6</v>
      </c>
      <c r="AB64">
        <f>HLOOKUP(AA64,Item[[#All],[Item Code]:[Lead Time]],AC$62,)</f>
        <v>20</v>
      </c>
      <c r="AK64" s="20"/>
      <c r="AL64" s="20"/>
      <c r="AW64" s="20"/>
      <c r="AX64" s="20"/>
      <c r="BI64" s="20"/>
      <c r="BJ64" s="20"/>
    </row>
    <row r="65" spans="1:62">
      <c r="A65" s="20"/>
      <c r="B65" s="20"/>
      <c r="C65" s="17" t="s">
        <v>8</v>
      </c>
      <c r="D65">
        <f>HLOOKUP(C65,Item[[#All],[Item Code]:[Lead Time]],E$62,)</f>
        <v>200</v>
      </c>
      <c r="M65" s="20"/>
      <c r="N65" s="20"/>
      <c r="O65" s="17" t="s">
        <v>8</v>
      </c>
      <c r="P65">
        <f>HLOOKUP(O65,Item[[#All],[Item Code]:[Lead Time]],Q$62,)</f>
        <v>60</v>
      </c>
      <c r="Y65" s="20"/>
      <c r="Z65" s="20"/>
      <c r="AA65" s="17" t="s">
        <v>8</v>
      </c>
      <c r="AB65">
        <f>HLOOKUP(AA65,Item[[#All],[Item Code]:[Lead Time]],AC$62,)</f>
        <v>60</v>
      </c>
      <c r="AK65" s="20"/>
      <c r="AL65" s="20"/>
      <c r="AW65" s="20"/>
      <c r="AX65" s="20"/>
      <c r="BI65" s="20"/>
      <c r="BJ65" s="20"/>
    </row>
    <row r="66" spans="1:62">
      <c r="A66" s="20"/>
      <c r="B66" s="20"/>
      <c r="C66" s="17" t="s">
        <v>9</v>
      </c>
      <c r="D66">
        <f>HLOOKUP(C66,Item[[#All],[Item Code]:[Lead Time]],E$62,)</f>
        <v>1</v>
      </c>
      <c r="M66" s="20"/>
      <c r="N66" s="20"/>
      <c r="O66" s="17" t="s">
        <v>9</v>
      </c>
      <c r="P66">
        <f>HLOOKUP(O66,Item[[#All],[Item Code]:[Lead Time]],Q$62,)</f>
        <v>1</v>
      </c>
      <c r="Y66" s="20"/>
      <c r="Z66" s="20"/>
      <c r="AA66" s="17" t="s">
        <v>9</v>
      </c>
      <c r="AB66">
        <f>HLOOKUP(AA66,Item[[#All],[Item Code]:[Lead Time]],AC$62,)</f>
        <v>1</v>
      </c>
      <c r="AK66" s="20"/>
      <c r="AL66" s="20"/>
      <c r="AW66" s="20"/>
      <c r="AX66" s="20"/>
      <c r="BI66" s="20"/>
      <c r="BJ66" s="20"/>
    </row>
    <row r="67" spans="1:62">
      <c r="A67" s="20"/>
      <c r="B67" s="20"/>
      <c r="C67" t="s">
        <v>90</v>
      </c>
      <c r="D67">
        <f>_xlfn.XLOOKUP(D62,BOM[Component Item],BOM[Quantity Per Assembly])</f>
        <v>1</v>
      </c>
      <c r="M67" s="20"/>
      <c r="N67" s="20"/>
      <c r="O67" t="s">
        <v>90</v>
      </c>
      <c r="P67">
        <f>_xlfn.XLOOKUP(P62,BOM[Component Item],BOM[Quantity Per Assembly])</f>
        <v>1</v>
      </c>
      <c r="Y67" s="20"/>
      <c r="Z67" s="20"/>
      <c r="AA67" t="s">
        <v>90</v>
      </c>
      <c r="AB67">
        <f>_xlfn.XLOOKUP(AB62,BOM[Component Item],BOM[Quantity Per Assembly])</f>
        <v>1</v>
      </c>
      <c r="AK67" s="20"/>
      <c r="AL67" s="20"/>
      <c r="AW67" s="20"/>
      <c r="AX67" s="20"/>
      <c r="BI67" s="20"/>
      <c r="BJ67" s="20"/>
    </row>
    <row r="68" spans="1:62">
      <c r="A68" s="20"/>
      <c r="B68" s="20"/>
      <c r="C68" t="s">
        <v>91</v>
      </c>
      <c r="D68" cm="1">
        <f t="array" ref="D68:L68">_xlfn.SEQUENCE(,9,0)</f>
        <v>0</v>
      </c>
      <c r="E68">
        <v>1</v>
      </c>
      <c r="F68">
        <v>2</v>
      </c>
      <c r="G68">
        <v>3</v>
      </c>
      <c r="H68">
        <v>4</v>
      </c>
      <c r="I68">
        <v>5</v>
      </c>
      <c r="J68">
        <v>6</v>
      </c>
      <c r="K68">
        <v>7</v>
      </c>
      <c r="L68">
        <v>8</v>
      </c>
      <c r="M68" s="20"/>
      <c r="N68" s="20"/>
      <c r="O68" t="s">
        <v>91</v>
      </c>
      <c r="P68" cm="1">
        <f t="array" ref="P68:X68">_xlfn.SEQUENCE(,9,0)</f>
        <v>0</v>
      </c>
      <c r="Q68">
        <v>1</v>
      </c>
      <c r="R68">
        <v>2</v>
      </c>
      <c r="S68">
        <v>3</v>
      </c>
      <c r="T68">
        <v>4</v>
      </c>
      <c r="U68">
        <v>5</v>
      </c>
      <c r="V68">
        <v>6</v>
      </c>
      <c r="W68">
        <v>7</v>
      </c>
      <c r="X68">
        <v>8</v>
      </c>
      <c r="Y68" s="20"/>
      <c r="Z68" s="20"/>
      <c r="AA68" t="s">
        <v>91</v>
      </c>
      <c r="AB68" cm="1">
        <f t="array" ref="AB68:AJ68">_xlfn.SEQUENCE(,9,0)</f>
        <v>0</v>
      </c>
      <c r="AC68">
        <v>1</v>
      </c>
      <c r="AD68">
        <v>2</v>
      </c>
      <c r="AE68">
        <v>3</v>
      </c>
      <c r="AF68">
        <v>4</v>
      </c>
      <c r="AG68">
        <v>5</v>
      </c>
      <c r="AH68">
        <v>6</v>
      </c>
      <c r="AI68">
        <v>7</v>
      </c>
      <c r="AJ68">
        <v>8</v>
      </c>
      <c r="AK68" s="20"/>
      <c r="AL68" s="20"/>
      <c r="AW68" s="20"/>
      <c r="AX68" s="20"/>
      <c r="BI68" s="20"/>
      <c r="BJ68" s="20"/>
    </row>
    <row r="69" spans="1:62">
      <c r="A69" s="20"/>
      <c r="B69" s="20"/>
      <c r="C69" t="s">
        <v>89</v>
      </c>
      <c r="D69">
        <f>D54</f>
        <v>0</v>
      </c>
      <c r="E69">
        <f t="shared" ref="E69:L69" si="189">E54</f>
        <v>0</v>
      </c>
      <c r="F69">
        <f t="shared" si="189"/>
        <v>100</v>
      </c>
      <c r="G69">
        <f t="shared" si="189"/>
        <v>100</v>
      </c>
      <c r="H69">
        <f t="shared" si="189"/>
        <v>100</v>
      </c>
      <c r="I69">
        <f t="shared" si="189"/>
        <v>100</v>
      </c>
      <c r="J69">
        <f t="shared" si="189"/>
        <v>200</v>
      </c>
      <c r="K69">
        <f t="shared" si="189"/>
        <v>0</v>
      </c>
      <c r="L69">
        <f t="shared" si="189"/>
        <v>0</v>
      </c>
      <c r="M69" s="20"/>
      <c r="N69" s="20"/>
      <c r="O69" t="s">
        <v>89</v>
      </c>
      <c r="Q69" cm="1">
        <f t="array" ref="Q69:X69">($Q$14:$X$14)*P67</f>
        <v>0</v>
      </c>
      <c r="R69">
        <v>100</v>
      </c>
      <c r="S69">
        <v>100</v>
      </c>
      <c r="T69">
        <v>100</v>
      </c>
      <c r="U69">
        <v>100</v>
      </c>
      <c r="V69">
        <v>200</v>
      </c>
      <c r="W69">
        <v>100</v>
      </c>
      <c r="X69">
        <v>0</v>
      </c>
      <c r="Y69" s="20"/>
      <c r="Z69" s="20"/>
      <c r="AA69" t="s">
        <v>89</v>
      </c>
      <c r="AC69" cm="1">
        <f t="array" ref="AC69:AJ69">$AC$14:$AJ$14*AB67</f>
        <v>0</v>
      </c>
      <c r="AD69">
        <v>80</v>
      </c>
      <c r="AE69">
        <v>80</v>
      </c>
      <c r="AF69">
        <v>160</v>
      </c>
      <c r="AG69">
        <v>80</v>
      </c>
      <c r="AH69">
        <v>160</v>
      </c>
      <c r="AI69">
        <v>80</v>
      </c>
      <c r="AJ69">
        <v>0</v>
      </c>
      <c r="AK69" s="20"/>
      <c r="AL69" s="20"/>
      <c r="AW69" s="20"/>
      <c r="AX69" s="20"/>
      <c r="BI69" s="20"/>
      <c r="BJ69" s="20"/>
    </row>
    <row r="70" spans="1:62">
      <c r="A70" s="20"/>
      <c r="B70" s="20"/>
      <c r="C70" t="s">
        <v>28</v>
      </c>
      <c r="M70" s="20"/>
      <c r="N70" s="20"/>
      <c r="O70" t="s">
        <v>28</v>
      </c>
      <c r="S70">
        <v>60</v>
      </c>
      <c r="Y70" s="20"/>
      <c r="Z70" s="20"/>
      <c r="AA70" t="s">
        <v>28</v>
      </c>
      <c r="AE70">
        <v>60</v>
      </c>
      <c r="AK70" s="20"/>
      <c r="AL70" s="20"/>
      <c r="AW70" s="20"/>
      <c r="AX70" s="20"/>
      <c r="BI70" s="20"/>
      <c r="BJ70" s="20"/>
    </row>
    <row r="71" spans="1:62">
      <c r="A71" s="20"/>
      <c r="B71" s="20"/>
      <c r="C71" s="17" t="s">
        <v>94</v>
      </c>
      <c r="D71">
        <f>D63</f>
        <v>150</v>
      </c>
      <c r="E71">
        <f>D71+E73+E70+-E69</f>
        <v>150</v>
      </c>
      <c r="F71">
        <f t="shared" ref="F71" si="190">E71+F73+F70+-F69</f>
        <v>50</v>
      </c>
      <c r="G71">
        <f t="shared" ref="G71" si="191">F71+G73+G70+-G69</f>
        <v>150</v>
      </c>
      <c r="H71">
        <f>G71+H73+H70+-H69</f>
        <v>50</v>
      </c>
      <c r="I71">
        <f t="shared" ref="I71" si="192">H71+I73+I70+-I69</f>
        <v>150</v>
      </c>
      <c r="J71">
        <f t="shared" ref="J71" si="193">I71+J73+J70+-J69</f>
        <v>150</v>
      </c>
      <c r="K71">
        <f t="shared" ref="K71" si="194">J71+K73+K70+-K69</f>
        <v>150</v>
      </c>
      <c r="L71">
        <f t="shared" ref="L71" si="195">K71+L73+L70+-L69</f>
        <v>150</v>
      </c>
      <c r="M71" s="20"/>
      <c r="N71" s="20"/>
      <c r="O71" s="17" t="s">
        <v>94</v>
      </c>
      <c r="P71">
        <f>P63</f>
        <v>70</v>
      </c>
      <c r="Q71">
        <f>P71+Q73+Q70+-Q69</f>
        <v>70</v>
      </c>
      <c r="R71">
        <f t="shared" ref="R71" si="196">Q71+R73+R70+-R69</f>
        <v>30</v>
      </c>
      <c r="S71">
        <f t="shared" ref="S71" si="197">R71+S73+S70+-S69</f>
        <v>50</v>
      </c>
      <c r="T71">
        <f>S71+T73+T70+-T69</f>
        <v>70</v>
      </c>
      <c r="U71">
        <f t="shared" ref="U71" si="198">T71+U73+U70+-U69</f>
        <v>30</v>
      </c>
      <c r="V71">
        <f t="shared" ref="V71" si="199">U71+V73+V70+-V69</f>
        <v>70</v>
      </c>
      <c r="W71">
        <f t="shared" ref="W71" si="200">V71+W73+W70+-W69</f>
        <v>30</v>
      </c>
      <c r="X71">
        <f t="shared" ref="X71" si="201">W71+X73+X70+-X69</f>
        <v>30</v>
      </c>
      <c r="Y71" s="20"/>
      <c r="Z71" s="20"/>
      <c r="AA71" s="17" t="s">
        <v>94</v>
      </c>
      <c r="AB71">
        <f>AB63</f>
        <v>55</v>
      </c>
      <c r="AC71">
        <f>AB71+AC73+AC70+-AC69</f>
        <v>55</v>
      </c>
      <c r="AD71">
        <f t="shared" ref="AD71" si="202">AC71+AD73+AD70+-AD69</f>
        <v>35</v>
      </c>
      <c r="AE71">
        <f t="shared" ref="AE71" si="203">AD71+AE73+AE70+-AE69</f>
        <v>75</v>
      </c>
      <c r="AF71">
        <f t="shared" ref="AF71" si="204">AE71+AF73+AF70+-AF69</f>
        <v>35</v>
      </c>
      <c r="AG71">
        <f t="shared" ref="AG71" si="205">AF71+AG73+AG70+-AG69</f>
        <v>75</v>
      </c>
      <c r="AH71">
        <f t="shared" ref="AH71" si="206">AG71+AH73+AH70+-AH69</f>
        <v>35</v>
      </c>
      <c r="AI71">
        <f t="shared" ref="AI71" si="207">AH71+AI73+AI70+-AI69</f>
        <v>75</v>
      </c>
      <c r="AJ71">
        <f t="shared" ref="AJ71" si="208">AI71+AJ73+AJ70+-AJ69</f>
        <v>75</v>
      </c>
      <c r="AK71" s="20"/>
      <c r="AL71" s="20"/>
      <c r="AW71" s="20"/>
      <c r="AX71" s="20"/>
      <c r="BI71" s="20"/>
      <c r="BJ71" s="20"/>
    </row>
    <row r="72" spans="1:62">
      <c r="A72" s="20"/>
      <c r="B72" s="20"/>
      <c r="C72" s="17" t="s">
        <v>95</v>
      </c>
      <c r="E72">
        <f>IF(E69+$D$64-E70-D71&lt;0, 0,E69+$D$64-E70-D71)</f>
        <v>0</v>
      </c>
      <c r="F72">
        <f t="shared" ref="F72:L72" si="209">IF(F69+$D$64-F70-E71&lt;0, 0,F69+$D$64-F70-E71)</f>
        <v>0</v>
      </c>
      <c r="G72">
        <f t="shared" si="209"/>
        <v>100</v>
      </c>
      <c r="H72">
        <f t="shared" si="209"/>
        <v>0</v>
      </c>
      <c r="I72">
        <f t="shared" si="209"/>
        <v>100</v>
      </c>
      <c r="J72">
        <f t="shared" si="209"/>
        <v>100</v>
      </c>
      <c r="K72">
        <f t="shared" si="209"/>
        <v>0</v>
      </c>
      <c r="L72">
        <f t="shared" si="209"/>
        <v>0</v>
      </c>
      <c r="M72" s="20"/>
      <c r="N72" s="20"/>
      <c r="O72" s="17" t="s">
        <v>95</v>
      </c>
      <c r="Q72">
        <f>IF(Q69+$P$64-Q70-P71&lt;0, 0,Q69+$P$64-Q70-P71)</f>
        <v>0</v>
      </c>
      <c r="R72">
        <f t="shared" ref="R72:X72" si="210">IF(R69+$P$64-R70-Q71&lt;0, 0,R69+$P$64-R70-Q71)</f>
        <v>55</v>
      </c>
      <c r="S72">
        <f t="shared" si="210"/>
        <v>35</v>
      </c>
      <c r="T72">
        <f t="shared" si="210"/>
        <v>75</v>
      </c>
      <c r="U72">
        <f t="shared" si="210"/>
        <v>55</v>
      </c>
      <c r="V72">
        <f t="shared" si="210"/>
        <v>195</v>
      </c>
      <c r="W72">
        <f t="shared" si="210"/>
        <v>55</v>
      </c>
      <c r="X72">
        <f t="shared" si="210"/>
        <v>0</v>
      </c>
      <c r="Y72" s="20"/>
      <c r="Z72" s="20"/>
      <c r="AA72" s="17" t="s">
        <v>95</v>
      </c>
      <c r="AC72">
        <f>IF(AC69+$AB$64-AC70-AB71&lt;0, 0,AC69+$AB$64-AC70-AB71)</f>
        <v>0</v>
      </c>
      <c r="AD72">
        <f t="shared" ref="AD72:AJ72" si="211">IF(AD69+$AB$64-AD70-AC71&lt;0, 0,AD69+$AB$64-AD70-AC71)</f>
        <v>45</v>
      </c>
      <c r="AE72">
        <f t="shared" si="211"/>
        <v>5</v>
      </c>
      <c r="AF72">
        <f t="shared" si="211"/>
        <v>105</v>
      </c>
      <c r="AG72">
        <f t="shared" si="211"/>
        <v>65</v>
      </c>
      <c r="AH72">
        <f t="shared" si="211"/>
        <v>105</v>
      </c>
      <c r="AI72">
        <f t="shared" si="211"/>
        <v>65</v>
      </c>
      <c r="AJ72">
        <f t="shared" si="211"/>
        <v>0</v>
      </c>
      <c r="AK72" s="20"/>
      <c r="AL72" s="20"/>
      <c r="AW72" s="20"/>
      <c r="AX72" s="20"/>
      <c r="BI72" s="20"/>
      <c r="BJ72" s="20"/>
    </row>
    <row r="73" spans="1:62">
      <c r="A73" s="20"/>
      <c r="B73" s="20"/>
      <c r="C73" t="s">
        <v>92</v>
      </c>
      <c r="E73">
        <f>D74</f>
        <v>0</v>
      </c>
      <c r="F73">
        <f t="shared" ref="F73:L73" si="212">E74</f>
        <v>0</v>
      </c>
      <c r="G73">
        <f t="shared" si="212"/>
        <v>200</v>
      </c>
      <c r="H73">
        <f t="shared" si="212"/>
        <v>0</v>
      </c>
      <c r="I73">
        <f t="shared" si="212"/>
        <v>200</v>
      </c>
      <c r="J73">
        <f t="shared" si="212"/>
        <v>200</v>
      </c>
      <c r="K73">
        <f t="shared" si="212"/>
        <v>0</v>
      </c>
      <c r="L73">
        <f t="shared" si="212"/>
        <v>0</v>
      </c>
      <c r="M73" s="20"/>
      <c r="N73" s="20"/>
      <c r="O73" t="s">
        <v>92</v>
      </c>
      <c r="Q73">
        <f>P74</f>
        <v>0</v>
      </c>
      <c r="R73">
        <f t="shared" ref="R73:X73" si="213">Q74</f>
        <v>60</v>
      </c>
      <c r="S73">
        <f t="shared" si="213"/>
        <v>60</v>
      </c>
      <c r="T73">
        <f t="shared" si="213"/>
        <v>120</v>
      </c>
      <c r="U73">
        <f t="shared" si="213"/>
        <v>60</v>
      </c>
      <c r="V73">
        <f t="shared" si="213"/>
        <v>240</v>
      </c>
      <c r="W73">
        <f t="shared" si="213"/>
        <v>60</v>
      </c>
      <c r="X73">
        <f t="shared" si="213"/>
        <v>0</v>
      </c>
      <c r="Y73" s="20"/>
      <c r="Z73" s="20"/>
      <c r="AA73" t="s">
        <v>92</v>
      </c>
      <c r="AC73">
        <f>AB74</f>
        <v>0</v>
      </c>
      <c r="AD73">
        <f t="shared" ref="AD73:AJ73" si="214">AC74</f>
        <v>60</v>
      </c>
      <c r="AE73">
        <f t="shared" si="214"/>
        <v>60</v>
      </c>
      <c r="AF73">
        <f t="shared" si="214"/>
        <v>120</v>
      </c>
      <c r="AG73">
        <f t="shared" si="214"/>
        <v>120</v>
      </c>
      <c r="AH73">
        <f t="shared" si="214"/>
        <v>120</v>
      </c>
      <c r="AI73">
        <f t="shared" si="214"/>
        <v>120</v>
      </c>
      <c r="AJ73">
        <f t="shared" si="214"/>
        <v>0</v>
      </c>
      <c r="AK73" s="20"/>
      <c r="AL73" s="20"/>
      <c r="AW73" s="20"/>
      <c r="AX73" s="20"/>
      <c r="BI73" s="20"/>
      <c r="BJ73" s="20"/>
    </row>
    <row r="74" spans="1:62">
      <c r="A74" s="20"/>
      <c r="B74" s="20"/>
      <c r="C74" t="s">
        <v>93</v>
      </c>
      <c r="F74">
        <v>200</v>
      </c>
      <c r="H74">
        <v>200</v>
      </c>
      <c r="I74">
        <v>200</v>
      </c>
      <c r="M74" s="20"/>
      <c r="N74" s="20"/>
      <c r="O74" t="s">
        <v>93</v>
      </c>
      <c r="Q74">
        <v>60</v>
      </c>
      <c r="R74">
        <v>60</v>
      </c>
      <c r="S74">
        <v>120</v>
      </c>
      <c r="T74">
        <v>60</v>
      </c>
      <c r="U74">
        <v>240</v>
      </c>
      <c r="V74">
        <v>60</v>
      </c>
      <c r="Y74" s="20"/>
      <c r="Z74" s="20"/>
      <c r="AA74" t="s">
        <v>93</v>
      </c>
      <c r="AC74">
        <v>60</v>
      </c>
      <c r="AD74">
        <v>60</v>
      </c>
      <c r="AE74">
        <v>120</v>
      </c>
      <c r="AF74">
        <v>120</v>
      </c>
      <c r="AG74">
        <v>120</v>
      </c>
      <c r="AH74">
        <v>120</v>
      </c>
      <c r="AK74" s="20"/>
      <c r="AL74" s="20"/>
      <c r="AW74" s="20"/>
      <c r="AX74" s="20"/>
      <c r="BI74" s="20"/>
      <c r="BJ74" s="20"/>
    </row>
  </sheetData>
  <sheetProtection algorithmName="SHA-512" hashValue="xGxICtH6N02WeiV+2BO2D818kuau/IUipFGG/szXTdLcB86KD1LlNyCl2r3FFV9cQ7FecCrZoHtNreYf6z2bhQ==" saltValue="MBcG4e9ersDs/puxJB2MkQ==" spinCount="100000" sheet="1" objects="1" scenarios="1"/>
  <mergeCells count="7">
    <mergeCell ref="A1:BT1"/>
    <mergeCell ref="A2:B74"/>
    <mergeCell ref="M2:N74"/>
    <mergeCell ref="Y2:Z74"/>
    <mergeCell ref="AK2:AL74"/>
    <mergeCell ref="AW2:AX74"/>
    <mergeCell ref="BI2:BJ7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B068-29F8-47EB-8196-DDFA11509279}">
  <dimension ref="A1:Q25"/>
  <sheetViews>
    <sheetView workbookViewId="0">
      <selection activeCell="G5" sqref="G5"/>
    </sheetView>
  </sheetViews>
  <sheetFormatPr defaultRowHeight="12.75"/>
  <cols>
    <col min="2" max="2" width="14.140625" bestFit="1" customWidth="1"/>
    <col min="3" max="4" width="14.140625" customWidth="1"/>
    <col min="5" max="12" width="13.85546875" bestFit="1" customWidth="1"/>
  </cols>
  <sheetData>
    <row r="1" spans="1:17">
      <c r="A1" s="21" t="s">
        <v>113</v>
      </c>
      <c r="B1" s="21" t="s">
        <v>103</v>
      </c>
      <c r="C1" s="21" t="s">
        <v>30</v>
      </c>
      <c r="D1" s="21" t="s">
        <v>112</v>
      </c>
      <c r="E1" s="21" t="s">
        <v>104</v>
      </c>
      <c r="F1" s="21" t="s">
        <v>105</v>
      </c>
      <c r="G1" s="21" t="s">
        <v>106</v>
      </c>
      <c r="H1" s="21" t="s">
        <v>107</v>
      </c>
      <c r="I1" s="21" t="s">
        <v>108</v>
      </c>
      <c r="J1" s="21" t="s">
        <v>109</v>
      </c>
      <c r="K1" s="21" t="s">
        <v>110</v>
      </c>
      <c r="L1" s="21" t="s">
        <v>111</v>
      </c>
    </row>
    <row r="2" spans="1:17">
      <c r="A2" s="21" t="s">
        <v>13</v>
      </c>
      <c r="B2" s="21" t="str">
        <f>_xlfn.XLOOKUP(A2,'ITEM MASTER'!$A:$A,'ITEM MASTER'!$C:$C,,0)</f>
        <v>Finished Goods</v>
      </c>
      <c r="C2" s="21">
        <v>0</v>
      </c>
      <c r="D2" s="21" cm="1">
        <f t="array" ref="D2:L2">MRP!D14:L14</f>
        <v>100</v>
      </c>
      <c r="E2" s="21">
        <v>0</v>
      </c>
      <c r="F2" s="21">
        <v>100</v>
      </c>
      <c r="G2" s="21">
        <v>100</v>
      </c>
      <c r="H2" s="21">
        <v>100</v>
      </c>
      <c r="I2" s="21">
        <v>100</v>
      </c>
      <c r="J2" s="21">
        <v>200</v>
      </c>
      <c r="K2" s="21">
        <v>0</v>
      </c>
      <c r="L2" s="21">
        <v>0</v>
      </c>
      <c r="Q2" t="str" cm="1">
        <f t="array" ref="Q2:Q25">Item[Item Code]</f>
        <v>FG-100</v>
      </c>
    </row>
    <row r="3" spans="1:17">
      <c r="A3" s="21" t="s">
        <v>23</v>
      </c>
      <c r="B3" s="21" t="str">
        <f>_xlfn.XLOOKUP(A3,'ITEM MASTER'!$A:$A,'ITEM MASTER'!$C:$C,,0)</f>
        <v>Raw Material</v>
      </c>
      <c r="C3" s="21">
        <v>1</v>
      </c>
      <c r="D3" s="21" cm="1">
        <f t="array" ref="D3:L3">MRP!D29:L29</f>
        <v>0</v>
      </c>
      <c r="E3" s="21">
        <v>0</v>
      </c>
      <c r="F3" s="21">
        <v>0</v>
      </c>
      <c r="G3" s="21">
        <v>0</v>
      </c>
      <c r="H3" s="21">
        <v>0</v>
      </c>
      <c r="I3" s="21">
        <v>200</v>
      </c>
      <c r="J3" s="21">
        <v>0</v>
      </c>
      <c r="K3" s="21">
        <v>0</v>
      </c>
      <c r="L3" s="21">
        <v>0</v>
      </c>
      <c r="Q3" t="str">
        <v>FG-200</v>
      </c>
    </row>
    <row r="4" spans="1:17">
      <c r="A4" s="21" t="s">
        <v>33</v>
      </c>
      <c r="B4" s="21" t="str">
        <f>_xlfn.XLOOKUP(A4,'ITEM MASTER'!$A:$A,'ITEM MASTER'!$C:$C,,0)</f>
        <v>Raw Material</v>
      </c>
      <c r="C4" s="21">
        <v>1</v>
      </c>
      <c r="D4" s="21" cm="1">
        <f t="array" ref="D4:L4">MRP!D44:L44</f>
        <v>0</v>
      </c>
      <c r="E4" s="21">
        <v>0</v>
      </c>
      <c r="F4" s="21">
        <v>40</v>
      </c>
      <c r="G4" s="21">
        <v>0</v>
      </c>
      <c r="H4" s="21">
        <v>50</v>
      </c>
      <c r="I4" s="21">
        <v>200</v>
      </c>
      <c r="J4" s="21">
        <v>0</v>
      </c>
      <c r="K4" s="21">
        <v>0</v>
      </c>
      <c r="L4" s="21">
        <v>0</v>
      </c>
      <c r="Q4" t="str">
        <v>FG-300</v>
      </c>
    </row>
    <row r="5" spans="1:17">
      <c r="A5" s="21" t="s">
        <v>18</v>
      </c>
      <c r="B5" s="21" t="str">
        <f>_xlfn.XLOOKUP(A5,'ITEM MASTER'!$A:$A,'ITEM MASTER'!$C:$C,,0)</f>
        <v>Sub Assembly</v>
      </c>
      <c r="C5" s="21">
        <v>1</v>
      </c>
      <c r="D5" s="21" cm="1">
        <f t="array" ref="D5:L5">MRP!D59:L59</f>
        <v>0</v>
      </c>
      <c r="E5" s="21">
        <v>0</v>
      </c>
      <c r="F5" s="21">
        <v>80</v>
      </c>
      <c r="G5" s="21">
        <v>160</v>
      </c>
      <c r="H5" s="21">
        <v>0</v>
      </c>
      <c r="I5" s="21">
        <v>160</v>
      </c>
      <c r="J5" s="21">
        <v>0</v>
      </c>
      <c r="K5" s="21">
        <v>0</v>
      </c>
      <c r="L5" s="21">
        <v>0</v>
      </c>
      <c r="Q5" t="str">
        <v>PK-301</v>
      </c>
    </row>
    <row r="6" spans="1:17">
      <c r="A6" s="21" t="s">
        <v>49</v>
      </c>
      <c r="B6" s="21" t="str">
        <f>_xlfn.XLOOKUP(A6,'ITEM MASTER'!$A:$A,'ITEM MASTER'!$C:$C,,0)</f>
        <v>Packaging</v>
      </c>
      <c r="C6" s="21">
        <v>1</v>
      </c>
      <c r="D6" s="21" cm="1">
        <f t="array" ref="D6:L6">MRP!D74:L74</f>
        <v>0</v>
      </c>
      <c r="E6" s="21">
        <v>0</v>
      </c>
      <c r="F6" s="21">
        <v>200</v>
      </c>
      <c r="G6" s="21">
        <v>0</v>
      </c>
      <c r="H6" s="21">
        <v>200</v>
      </c>
      <c r="I6" s="21">
        <v>200</v>
      </c>
      <c r="J6" s="21">
        <v>0</v>
      </c>
      <c r="K6" s="21">
        <v>0</v>
      </c>
      <c r="L6" s="21">
        <v>0</v>
      </c>
      <c r="Q6" t="str">
        <v>PK-302</v>
      </c>
    </row>
    <row r="7" spans="1:17">
      <c r="A7" s="21" t="s">
        <v>37</v>
      </c>
      <c r="B7" s="21" t="str">
        <f>_xlfn.XLOOKUP(A7,'ITEM MASTER'!$A:$A,'ITEM MASTER'!$C:$C,,0)</f>
        <v>Raw Material</v>
      </c>
      <c r="C7" s="21">
        <v>2</v>
      </c>
      <c r="D7" s="21" cm="1">
        <f t="array" ref="D7:L7">MRP!AN29:AV29</f>
        <v>0</v>
      </c>
      <c r="E7" s="21">
        <v>0</v>
      </c>
      <c r="F7" s="21">
        <v>0</v>
      </c>
      <c r="G7" s="21">
        <v>500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Q7" t="str">
        <v>PK-303</v>
      </c>
    </row>
    <row r="8" spans="1:17">
      <c r="A8" s="21" t="s">
        <v>41</v>
      </c>
      <c r="B8" s="21" t="str">
        <f>_xlfn.XLOOKUP(A8,'ITEM MASTER'!$A:$A,'ITEM MASTER'!$C:$C,,0)</f>
        <v>Raw Material</v>
      </c>
      <c r="C8" s="21">
        <v>2</v>
      </c>
      <c r="D8" s="21" cm="1">
        <f t="array" ref="D8:L8">MRP!AN44:AV44</f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Q8" t="str">
        <v>RM-201</v>
      </c>
    </row>
    <row r="9" spans="1:17">
      <c r="A9" s="21" t="s">
        <v>46</v>
      </c>
      <c r="B9" s="21" t="str">
        <f>_xlfn.XLOOKUP(A9,'ITEM MASTER'!$A:$A,'ITEM MASTER'!$C:$C,,0)</f>
        <v>Raw Material</v>
      </c>
      <c r="C9" s="21">
        <v>2</v>
      </c>
      <c r="D9" s="21" cm="1">
        <f t="array" ref="D9:L9">MRP!AN59:AV59</f>
        <v>0</v>
      </c>
      <c r="E9" s="21">
        <v>120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Q9" t="str">
        <v>RM-202</v>
      </c>
    </row>
    <row r="10" spans="1:17">
      <c r="A10" s="21" t="s">
        <v>45</v>
      </c>
      <c r="B10" s="21" t="str">
        <f>_xlfn.XLOOKUP(A10,'ITEM MASTER'!$A:$A,'ITEM MASTER'!$C:$C,,0)</f>
        <v>Finished Goods</v>
      </c>
      <c r="C10" s="21">
        <v>0</v>
      </c>
      <c r="D10" s="21" cm="1">
        <f t="array" ref="D10:L10">MRP!P14:X14</f>
        <v>100</v>
      </c>
      <c r="E10" s="21">
        <v>0</v>
      </c>
      <c r="F10" s="21">
        <v>100</v>
      </c>
      <c r="G10" s="21">
        <v>100</v>
      </c>
      <c r="H10" s="21">
        <v>100</v>
      </c>
      <c r="I10" s="21">
        <v>100</v>
      </c>
      <c r="J10" s="21">
        <v>200</v>
      </c>
      <c r="K10" s="21">
        <v>100</v>
      </c>
      <c r="L10" s="21">
        <v>0</v>
      </c>
      <c r="Q10" t="str">
        <v>RM-203</v>
      </c>
    </row>
    <row r="11" spans="1:17">
      <c r="A11" s="21" t="s">
        <v>70</v>
      </c>
      <c r="B11" s="21" t="str">
        <f>_xlfn.XLOOKUP(A11,'ITEM MASTER'!$A:$A,'ITEM MASTER'!$C:$C,,0)</f>
        <v>Packaging</v>
      </c>
      <c r="C11" s="21">
        <v>1</v>
      </c>
      <c r="D11" s="21" cm="1">
        <f t="array" ref="D11:L11">MRP!P29:X29</f>
        <v>0</v>
      </c>
      <c r="E11" s="21">
        <v>200</v>
      </c>
      <c r="F11" s="21">
        <v>0</v>
      </c>
      <c r="G11" s="21">
        <v>200</v>
      </c>
      <c r="H11" s="21">
        <v>0</v>
      </c>
      <c r="I11" s="21">
        <v>200</v>
      </c>
      <c r="J11" s="21">
        <v>200</v>
      </c>
      <c r="K11" s="21">
        <v>0</v>
      </c>
      <c r="L11" s="21">
        <v>0</v>
      </c>
      <c r="Q11" t="str">
        <v>RM-204</v>
      </c>
    </row>
    <row r="12" spans="1:17">
      <c r="A12" s="21" t="s">
        <v>58</v>
      </c>
      <c r="B12" s="21" t="str">
        <f>_xlfn.XLOOKUP(A12,'ITEM MASTER'!$A:$A,'ITEM MASTER'!$C:$C,,0)</f>
        <v>Raw Material</v>
      </c>
      <c r="C12" s="21">
        <v>1</v>
      </c>
      <c r="D12" s="21" cm="1">
        <f t="array" ref="D12:L12">MRP!P44:X44</f>
        <v>0</v>
      </c>
      <c r="E12" s="21">
        <v>300</v>
      </c>
      <c r="F12" s="21">
        <v>400</v>
      </c>
      <c r="G12" s="21">
        <v>400</v>
      </c>
      <c r="H12" s="21">
        <v>400</v>
      </c>
      <c r="I12" s="21">
        <v>800</v>
      </c>
      <c r="J12" s="21">
        <v>400</v>
      </c>
      <c r="K12" s="21">
        <v>0</v>
      </c>
      <c r="L12" s="21">
        <v>0</v>
      </c>
      <c r="Q12" t="str">
        <v>RM-205</v>
      </c>
    </row>
    <row r="13" spans="1:17">
      <c r="A13" s="21" t="s">
        <v>60</v>
      </c>
      <c r="B13" s="21" t="str">
        <f>_xlfn.XLOOKUP(A13,'ITEM MASTER'!$A:$A,'ITEM MASTER'!$C:$C,,0)</f>
        <v>Raw Material</v>
      </c>
      <c r="C13" s="21">
        <v>1</v>
      </c>
      <c r="D13" s="21" cm="1">
        <f t="array" ref="D13:L13">MRP!P59:X59</f>
        <v>0</v>
      </c>
      <c r="E13" s="21">
        <v>200</v>
      </c>
      <c r="F13" s="21">
        <v>200</v>
      </c>
      <c r="G13" s="21">
        <v>0</v>
      </c>
      <c r="H13" s="21">
        <v>200</v>
      </c>
      <c r="I13" s="21">
        <v>400</v>
      </c>
      <c r="J13" s="21">
        <v>200</v>
      </c>
      <c r="K13" s="21">
        <v>0</v>
      </c>
      <c r="L13" s="21">
        <v>0</v>
      </c>
      <c r="Q13" t="str">
        <v>RM-206</v>
      </c>
    </row>
    <row r="14" spans="1:17">
      <c r="A14" s="21" t="s">
        <v>55</v>
      </c>
      <c r="B14" s="21" t="str">
        <f>_xlfn.XLOOKUP(A14,'ITEM MASTER'!$A:$A,'ITEM MASTER'!$C:$C,,0)</f>
        <v>Sub Assembly</v>
      </c>
      <c r="C14" s="21">
        <v>1</v>
      </c>
      <c r="D14" s="21" cm="1">
        <f t="array" ref="D14:L14">MRP!P74:X74</f>
        <v>0</v>
      </c>
      <c r="E14" s="21">
        <v>60</v>
      </c>
      <c r="F14" s="21">
        <v>60</v>
      </c>
      <c r="G14" s="21">
        <v>120</v>
      </c>
      <c r="H14" s="21">
        <v>60</v>
      </c>
      <c r="I14" s="21">
        <v>240</v>
      </c>
      <c r="J14" s="21">
        <v>60</v>
      </c>
      <c r="K14" s="21">
        <v>0</v>
      </c>
      <c r="L14" s="21">
        <v>0</v>
      </c>
      <c r="Q14" t="str">
        <v>RM-207</v>
      </c>
    </row>
    <row r="15" spans="1:17">
      <c r="A15" s="21" t="s">
        <v>63</v>
      </c>
      <c r="B15" s="21" t="str">
        <f>_xlfn.XLOOKUP(A15,'ITEM MASTER'!$A:$A,'ITEM MASTER'!$C:$C,,0)</f>
        <v>Raw Material</v>
      </c>
      <c r="C15" s="21">
        <v>2</v>
      </c>
      <c r="D15" s="21" cm="1">
        <f t="array" ref="D15:L15">MRP!AZ29:BH29</f>
        <v>150</v>
      </c>
      <c r="E15" s="21">
        <v>300</v>
      </c>
      <c r="F15" s="21">
        <v>150</v>
      </c>
      <c r="G15" s="21">
        <v>300</v>
      </c>
      <c r="H15" s="21">
        <v>150</v>
      </c>
      <c r="I15" s="21">
        <v>0</v>
      </c>
      <c r="J15" s="21">
        <v>0</v>
      </c>
      <c r="K15" s="21">
        <v>0</v>
      </c>
      <c r="L15" s="21">
        <v>0</v>
      </c>
      <c r="Q15" t="str">
        <v>RM-208</v>
      </c>
    </row>
    <row r="16" spans="1:17">
      <c r="A16" s="21" t="s">
        <v>65</v>
      </c>
      <c r="B16" s="21" t="str">
        <f>_xlfn.XLOOKUP(A16,'ITEM MASTER'!$A:$A,'ITEM MASTER'!$C:$C,,0)</f>
        <v>Raw Material</v>
      </c>
      <c r="C16" s="21">
        <v>2</v>
      </c>
      <c r="D16" s="21" cm="1">
        <f t="array" ref="D16:L16">MRP!AZ44:BH44</f>
        <v>0</v>
      </c>
      <c r="E16" s="21">
        <v>0</v>
      </c>
      <c r="F16" s="21">
        <v>0</v>
      </c>
      <c r="G16" s="21">
        <v>30</v>
      </c>
      <c r="H16" s="21">
        <v>240</v>
      </c>
      <c r="I16" s="21">
        <v>60</v>
      </c>
      <c r="J16" s="21">
        <v>0</v>
      </c>
      <c r="K16" s="21">
        <v>0</v>
      </c>
      <c r="L16" s="21">
        <v>0</v>
      </c>
      <c r="Q16" t="str">
        <v>RM-209</v>
      </c>
    </row>
    <row r="17" spans="1:17">
      <c r="A17" s="21" t="s">
        <v>67</v>
      </c>
      <c r="B17" s="21" t="str">
        <f>_xlfn.XLOOKUP(A17,'ITEM MASTER'!$A:$A,'ITEM MASTER'!$C:$C,,0)</f>
        <v>Raw Material</v>
      </c>
      <c r="C17" s="21">
        <v>2</v>
      </c>
      <c r="D17" s="21" cm="1">
        <f t="array" ref="D17:L17">MRP!AZ59:BH59</f>
        <v>0</v>
      </c>
      <c r="E17" s="21">
        <v>300</v>
      </c>
      <c r="F17" s="21">
        <v>300</v>
      </c>
      <c r="G17" s="21">
        <v>300</v>
      </c>
      <c r="H17" s="21">
        <v>600</v>
      </c>
      <c r="I17" s="21">
        <v>300</v>
      </c>
      <c r="J17" s="21">
        <v>0</v>
      </c>
      <c r="K17" s="21">
        <v>0</v>
      </c>
      <c r="L17" s="21">
        <v>0</v>
      </c>
      <c r="Q17" t="str">
        <v>RM-210</v>
      </c>
    </row>
    <row r="18" spans="1:17">
      <c r="A18" s="21" t="s">
        <v>62</v>
      </c>
      <c r="B18" s="21" t="str">
        <f>_xlfn.XLOOKUP(A18,'ITEM MASTER'!$A:$A,'ITEM MASTER'!$C:$C,,0)</f>
        <v>Finished Goods</v>
      </c>
      <c r="C18" s="21">
        <v>0</v>
      </c>
      <c r="D18" s="21" cm="1">
        <f t="array" ref="D18:L18">MRP!AB14:AJ14</f>
        <v>0</v>
      </c>
      <c r="E18" s="21">
        <v>0</v>
      </c>
      <c r="F18" s="21">
        <v>80</v>
      </c>
      <c r="G18" s="21">
        <v>80</v>
      </c>
      <c r="H18" s="21">
        <v>160</v>
      </c>
      <c r="I18" s="21">
        <v>80</v>
      </c>
      <c r="J18" s="21">
        <v>160</v>
      </c>
      <c r="K18" s="21">
        <v>80</v>
      </c>
      <c r="L18" s="21">
        <v>0</v>
      </c>
      <c r="Q18" t="str">
        <v>RM-211</v>
      </c>
    </row>
    <row r="19" spans="1:17">
      <c r="A19" s="21" t="s">
        <v>83</v>
      </c>
      <c r="B19" s="21" t="str">
        <f>_xlfn.XLOOKUP(A19,'ITEM MASTER'!$A:$A,'ITEM MASTER'!$C:$C,,0)</f>
        <v>Packaging</v>
      </c>
      <c r="C19" s="21">
        <v>1</v>
      </c>
      <c r="D19" s="21" cm="1">
        <f t="array" ref="D19:L19">MRP!AB29:AJ29</f>
        <v>0</v>
      </c>
      <c r="E19" s="21">
        <v>150</v>
      </c>
      <c r="F19" s="21">
        <v>0</v>
      </c>
      <c r="G19" s="21">
        <v>150</v>
      </c>
      <c r="H19" s="21">
        <v>150</v>
      </c>
      <c r="I19" s="21">
        <v>0</v>
      </c>
      <c r="J19" s="21">
        <v>0</v>
      </c>
      <c r="K19" s="21">
        <v>0</v>
      </c>
      <c r="L19" s="21">
        <v>0</v>
      </c>
      <c r="Q19" t="str">
        <v>RM-212</v>
      </c>
    </row>
    <row r="20" spans="1:17">
      <c r="A20" s="21" t="s">
        <v>73</v>
      </c>
      <c r="B20" s="21" t="str">
        <f>_xlfn.XLOOKUP(A20,'ITEM MASTER'!$A:$A,'ITEM MASTER'!$C:$C,,0)</f>
        <v>Raw Material</v>
      </c>
      <c r="C20" s="21">
        <v>1</v>
      </c>
      <c r="D20" s="21" cm="1">
        <f t="array" ref="D20:L20">MRP!AB44:AJ44</f>
        <v>30</v>
      </c>
      <c r="E20" s="21">
        <v>160</v>
      </c>
      <c r="F20" s="21">
        <v>320</v>
      </c>
      <c r="G20" s="21">
        <v>160</v>
      </c>
      <c r="H20" s="21">
        <v>320</v>
      </c>
      <c r="I20" s="21">
        <v>160</v>
      </c>
      <c r="J20" s="21">
        <v>0</v>
      </c>
      <c r="K20" s="21">
        <v>0</v>
      </c>
      <c r="L20" s="21">
        <v>0</v>
      </c>
      <c r="Q20" t="str">
        <v>RM-213</v>
      </c>
    </row>
    <row r="21" spans="1:17">
      <c r="A21" s="21" t="s">
        <v>75</v>
      </c>
      <c r="B21" s="21" t="str">
        <f>_xlfn.XLOOKUP(A21,'ITEM MASTER'!$A:$A,'ITEM MASTER'!$C:$C,,0)</f>
        <v>Raw Material</v>
      </c>
      <c r="C21" s="21">
        <v>1</v>
      </c>
      <c r="D21" s="21" cm="1">
        <f t="array" ref="D21:L21">MRP!AB59:AJ59</f>
        <v>150</v>
      </c>
      <c r="E21" s="21">
        <v>150</v>
      </c>
      <c r="F21" s="21">
        <v>150</v>
      </c>
      <c r="G21" s="21">
        <v>150</v>
      </c>
      <c r="H21" s="21">
        <v>300</v>
      </c>
      <c r="I21" s="21">
        <v>150</v>
      </c>
      <c r="J21" s="21">
        <v>0</v>
      </c>
      <c r="K21" s="21">
        <v>0</v>
      </c>
      <c r="L21" s="21">
        <v>0</v>
      </c>
      <c r="Q21" t="str">
        <v>RM-214</v>
      </c>
    </row>
    <row r="22" spans="1:17">
      <c r="A22" s="21" t="s">
        <v>71</v>
      </c>
      <c r="B22" s="21" t="str">
        <f>_xlfn.XLOOKUP(A22,'ITEM MASTER'!$A:$A,'ITEM MASTER'!$C:$C,,0)</f>
        <v>Sub Assembly</v>
      </c>
      <c r="C22" s="21">
        <v>1</v>
      </c>
      <c r="D22" s="21" cm="1">
        <f t="array" ref="D22:L22">MRP!BL14:BT14</f>
        <v>0</v>
      </c>
      <c r="E22" s="21">
        <v>60</v>
      </c>
      <c r="F22" s="21">
        <v>60</v>
      </c>
      <c r="G22" s="21">
        <v>120</v>
      </c>
      <c r="H22" s="21">
        <v>120</v>
      </c>
      <c r="I22" s="21">
        <v>120</v>
      </c>
      <c r="J22" s="21">
        <v>120</v>
      </c>
      <c r="K22" s="21">
        <v>0</v>
      </c>
      <c r="L22" s="21">
        <v>0</v>
      </c>
      <c r="Q22" t="str">
        <v>RM-215</v>
      </c>
    </row>
    <row r="23" spans="1:17">
      <c r="A23" s="21" t="s">
        <v>77</v>
      </c>
      <c r="B23" s="21" t="str">
        <f>_xlfn.XLOOKUP(A23,'ITEM MASTER'!$A:$A,'ITEM MASTER'!$C:$C,,0)</f>
        <v>Raw Material</v>
      </c>
      <c r="C23" s="21">
        <v>2</v>
      </c>
      <c r="D23" s="21" cm="1">
        <f t="array" ref="D23:L23">MRP!BL29:BT29</f>
        <v>200</v>
      </c>
      <c r="E23" s="21">
        <v>200</v>
      </c>
      <c r="F23" s="21">
        <v>200</v>
      </c>
      <c r="G23" s="21">
        <v>200</v>
      </c>
      <c r="H23" s="21">
        <v>200</v>
      </c>
      <c r="I23" s="21">
        <v>0</v>
      </c>
      <c r="J23" s="21">
        <v>0</v>
      </c>
      <c r="K23" s="21">
        <v>0</v>
      </c>
      <c r="L23" s="21">
        <v>0</v>
      </c>
      <c r="Q23" t="str">
        <v>SA-110</v>
      </c>
    </row>
    <row r="24" spans="1:17">
      <c r="A24" s="21" t="s">
        <v>79</v>
      </c>
      <c r="B24" s="21" t="str">
        <f>_xlfn.XLOOKUP(A24,'ITEM MASTER'!$A:$A,'ITEM MASTER'!$C:$C,,0)</f>
        <v>Raw Material</v>
      </c>
      <c r="C24" s="21">
        <v>2</v>
      </c>
      <c r="D24" s="21" cm="1">
        <f t="array" ref="D24:L24">MRP!BL44:BT44</f>
        <v>70</v>
      </c>
      <c r="E24" s="21">
        <v>180</v>
      </c>
      <c r="F24" s="21">
        <v>360</v>
      </c>
      <c r="G24" s="21">
        <v>360</v>
      </c>
      <c r="H24" s="21">
        <v>360</v>
      </c>
      <c r="I24" s="21">
        <v>360</v>
      </c>
      <c r="J24" s="21">
        <v>0</v>
      </c>
      <c r="K24" s="21">
        <v>0</v>
      </c>
      <c r="L24" s="21">
        <v>0</v>
      </c>
      <c r="Q24" t="str">
        <v>SA-210</v>
      </c>
    </row>
    <row r="25" spans="1:17">
      <c r="A25" s="21" t="s">
        <v>81</v>
      </c>
      <c r="B25" s="21" t="str">
        <f>_xlfn.XLOOKUP(A25,'ITEM MASTER'!$A:$A,'ITEM MASTER'!$C:$C,,0)</f>
        <v>Raw Material</v>
      </c>
      <c r="C25" s="21">
        <v>2</v>
      </c>
      <c r="D25" s="21" cm="1">
        <f t="array" ref="D25:L25">MRP!BL59:BT59</f>
        <v>100</v>
      </c>
      <c r="E25" s="21">
        <v>100</v>
      </c>
      <c r="F25" s="21">
        <v>200</v>
      </c>
      <c r="G25" s="21">
        <v>100</v>
      </c>
      <c r="H25" s="21">
        <v>100</v>
      </c>
      <c r="I25" s="21">
        <v>0</v>
      </c>
      <c r="J25" s="21">
        <v>0</v>
      </c>
      <c r="K25" s="21">
        <v>0</v>
      </c>
      <c r="L25" s="21">
        <v>0</v>
      </c>
      <c r="Q25" t="str">
        <v>SA-310</v>
      </c>
    </row>
  </sheetData>
  <sheetProtection algorithmName="SHA-512" hashValue="E7p7POlTNc768sSOTFTdDtc4zP0XH3Zx4tP+hz18Qt47YtlOF4QcPkAMIbjv5/PQRttsMAfUr6edNt9tsk4jDA==" saltValue="si9NtsTkSh3Zo8GhdIwzGA==" spinCount="100000" sheet="1" objects="1" scenarios="1" selectLockedCells="1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31"/>
  <sheetViews>
    <sheetView topLeftCell="A12" workbookViewId="0">
      <selection activeCell="C16" sqref="C16"/>
    </sheetView>
  </sheetViews>
  <sheetFormatPr defaultColWidth="12.5703125" defaultRowHeight="15.75" customHeight="1"/>
  <cols>
    <col min="3" max="3" width="18.28515625" customWidth="1"/>
  </cols>
  <sheetData>
    <row r="1" spans="1:3">
      <c r="A1" s="14" t="s">
        <v>0</v>
      </c>
      <c r="B1" s="15" t="s">
        <v>10</v>
      </c>
      <c r="C1" s="16" t="s">
        <v>28</v>
      </c>
    </row>
    <row r="2" spans="1:3">
      <c r="A2" s="4" t="s">
        <v>13</v>
      </c>
      <c r="B2" s="2" t="s">
        <v>16</v>
      </c>
      <c r="C2" s="12">
        <v>0</v>
      </c>
    </row>
    <row r="3" spans="1:3">
      <c r="A3" s="4" t="s">
        <v>13</v>
      </c>
      <c r="B3" s="2" t="s">
        <v>21</v>
      </c>
      <c r="C3" s="12">
        <v>100</v>
      </c>
    </row>
    <row r="4" spans="1:3">
      <c r="A4" s="4" t="s">
        <v>13</v>
      </c>
      <c r="B4" s="2" t="s">
        <v>25</v>
      </c>
      <c r="C4" s="12">
        <v>0</v>
      </c>
    </row>
    <row r="5" spans="1:3">
      <c r="A5" s="4" t="s">
        <v>13</v>
      </c>
      <c r="B5" s="2" t="s">
        <v>44</v>
      </c>
      <c r="C5" s="12">
        <v>0</v>
      </c>
    </row>
    <row r="6" spans="1:3">
      <c r="A6" s="4" t="s">
        <v>13</v>
      </c>
      <c r="B6" s="2" t="s">
        <v>35</v>
      </c>
      <c r="C6" s="12">
        <v>100</v>
      </c>
    </row>
    <row r="7" spans="1:3">
      <c r="A7" s="4" t="s">
        <v>13</v>
      </c>
      <c r="B7" s="2" t="s">
        <v>38</v>
      </c>
      <c r="C7" s="12">
        <v>0</v>
      </c>
    </row>
    <row r="8" spans="1:3">
      <c r="A8" s="4" t="s">
        <v>13</v>
      </c>
      <c r="B8" s="2" t="s">
        <v>52</v>
      </c>
      <c r="C8" s="12">
        <v>0</v>
      </c>
    </row>
    <row r="9" spans="1:3">
      <c r="A9" s="4" t="s">
        <v>13</v>
      </c>
      <c r="B9" s="2" t="s">
        <v>42</v>
      </c>
      <c r="C9" s="12">
        <v>100</v>
      </c>
    </row>
    <row r="10" spans="1:3">
      <c r="A10" s="4" t="s">
        <v>45</v>
      </c>
      <c r="B10" s="2" t="s">
        <v>21</v>
      </c>
      <c r="C10" s="12">
        <v>100</v>
      </c>
    </row>
    <row r="11" spans="1:3">
      <c r="A11" s="4" t="s">
        <v>62</v>
      </c>
      <c r="B11" s="2" t="s">
        <v>21</v>
      </c>
      <c r="C11" s="12">
        <v>80</v>
      </c>
    </row>
    <row r="12" spans="1:3">
      <c r="A12" s="4" t="s">
        <v>83</v>
      </c>
      <c r="B12" s="2" t="s">
        <v>57</v>
      </c>
      <c r="C12" s="12">
        <v>150</v>
      </c>
    </row>
    <row r="13" spans="1:3">
      <c r="A13" s="4" t="s">
        <v>23</v>
      </c>
      <c r="B13" s="2" t="s">
        <v>16</v>
      </c>
      <c r="C13" s="12">
        <v>0</v>
      </c>
    </row>
    <row r="14" spans="1:3">
      <c r="A14" s="4" t="s">
        <v>23</v>
      </c>
      <c r="B14" s="2" t="s">
        <v>21</v>
      </c>
      <c r="C14" s="12">
        <v>200</v>
      </c>
    </row>
    <row r="15" spans="1:3">
      <c r="A15" s="4" t="s">
        <v>23</v>
      </c>
      <c r="B15" s="2" t="s">
        <v>25</v>
      </c>
      <c r="C15" s="12">
        <v>0</v>
      </c>
    </row>
    <row r="16" spans="1:3">
      <c r="A16" s="4" t="s">
        <v>33</v>
      </c>
      <c r="B16" s="2" t="s">
        <v>68</v>
      </c>
      <c r="C16" s="12">
        <v>150</v>
      </c>
    </row>
    <row r="17" spans="1:3">
      <c r="A17" s="4" t="s">
        <v>37</v>
      </c>
      <c r="B17" s="2" t="s">
        <v>21</v>
      </c>
      <c r="C17" s="12">
        <v>500</v>
      </c>
    </row>
    <row r="18" spans="1:3">
      <c r="A18" s="4" t="s">
        <v>41</v>
      </c>
      <c r="B18" s="2" t="s">
        <v>25</v>
      </c>
      <c r="C18" s="12">
        <v>1000</v>
      </c>
    </row>
    <row r="19" spans="1:3">
      <c r="A19" s="4" t="s">
        <v>46</v>
      </c>
      <c r="B19" s="2" t="s">
        <v>35</v>
      </c>
      <c r="C19" s="12">
        <v>160</v>
      </c>
    </row>
    <row r="20" spans="1:3">
      <c r="A20" s="4" t="s">
        <v>60</v>
      </c>
      <c r="B20" s="2" t="s">
        <v>44</v>
      </c>
      <c r="C20" s="12">
        <v>200</v>
      </c>
    </row>
    <row r="21" spans="1:3">
      <c r="A21" s="4" t="s">
        <v>63</v>
      </c>
      <c r="B21" s="2" t="s">
        <v>35</v>
      </c>
      <c r="C21" s="12">
        <v>150</v>
      </c>
    </row>
    <row r="22" spans="1:3">
      <c r="A22" s="4" t="s">
        <v>67</v>
      </c>
      <c r="B22" s="2" t="s">
        <v>38</v>
      </c>
      <c r="C22" s="12">
        <v>300</v>
      </c>
    </row>
    <row r="23" spans="1:3">
      <c r="A23" s="4" t="s">
        <v>75</v>
      </c>
      <c r="B23" s="2" t="s">
        <v>44</v>
      </c>
      <c r="C23" s="12">
        <v>150</v>
      </c>
    </row>
    <row r="24" spans="1:3">
      <c r="A24" s="4" t="s">
        <v>77</v>
      </c>
      <c r="B24" s="2" t="s">
        <v>35</v>
      </c>
      <c r="C24" s="12">
        <v>200</v>
      </c>
    </row>
    <row r="25" spans="1:3">
      <c r="A25" s="4" t="s">
        <v>18</v>
      </c>
      <c r="B25" s="2" t="s">
        <v>16</v>
      </c>
      <c r="C25" s="12">
        <v>0</v>
      </c>
    </row>
    <row r="26" spans="1:3">
      <c r="A26" s="4" t="s">
        <v>18</v>
      </c>
      <c r="B26" s="2" t="s">
        <v>21</v>
      </c>
      <c r="C26" s="12">
        <v>80</v>
      </c>
    </row>
    <row r="27" spans="1:3">
      <c r="A27" s="4" t="s">
        <v>18</v>
      </c>
      <c r="B27" s="2" t="s">
        <v>25</v>
      </c>
      <c r="C27" s="12">
        <v>0</v>
      </c>
    </row>
    <row r="28" spans="1:3">
      <c r="A28" s="4" t="s">
        <v>18</v>
      </c>
      <c r="B28" s="2" t="s">
        <v>44</v>
      </c>
      <c r="C28" s="12">
        <v>0</v>
      </c>
    </row>
    <row r="29" spans="1:3">
      <c r="A29" s="4" t="s">
        <v>18</v>
      </c>
      <c r="B29" s="2" t="s">
        <v>35</v>
      </c>
      <c r="C29" s="12">
        <v>80</v>
      </c>
    </row>
    <row r="30" spans="1:3">
      <c r="A30" s="4" t="s">
        <v>55</v>
      </c>
      <c r="B30" s="2" t="s">
        <v>25</v>
      </c>
      <c r="C30" s="12">
        <v>60</v>
      </c>
    </row>
    <row r="31" spans="1:3">
      <c r="A31" s="9" t="s">
        <v>71</v>
      </c>
      <c r="B31" s="10" t="s">
        <v>25</v>
      </c>
      <c r="C31" s="13">
        <v>60</v>
      </c>
    </row>
  </sheetData>
  <sheetProtection algorithmName="SHA-512" hashValue="+o/wjSEaPSuz3nJZ/1spHJanAGGUgQpLjska9jNYI7rEJxWhqDrcaW+SAfbLT3VgS4XIoO55px+ZdOC2bEfSiA==" saltValue="vYczSOn2cBKXyO9WzUkbAw==" spinCount="100000" sheet="1" objects="1" scenarios="1"/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BOM RAW</vt:lpstr>
      <vt:lpstr>Struktur BOM</vt:lpstr>
      <vt:lpstr>ITEM MASTER</vt:lpstr>
      <vt:lpstr>MPS INPUT</vt:lpstr>
      <vt:lpstr>MRP</vt:lpstr>
      <vt:lpstr>Sheet1</vt:lpstr>
      <vt:lpstr>SCHEDULE RECEIPT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IPAN</dc:creator>
  <cp:lastModifiedBy>ipan yuda</cp:lastModifiedBy>
  <dcterms:created xsi:type="dcterms:W3CDTF">2026-08-30T12:54:13Z</dcterms:created>
  <dcterms:modified xsi:type="dcterms:W3CDTF">2026-09-01T06:53:11Z</dcterms:modified>
</cp:coreProperties>
</file>